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dicadores" sheetId="2" state="visible" r:id="rId4"/>
    <sheet name="Dad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<sst xmlns="http://schemas.openxmlformats.org/spreadsheetml/2006/main" count="1478" uniqueCount="728">
  <si>
    <t xml:space="preserve">DASHBOARD — PROPRIEDADE INTELECTUAL  |  IFMA</t>
  </si>
  <si>
    <t xml:space="preserve">Atualizado em: 04/04/2026   |   Fonte: INPI / NIT-IFMA</t>
  </si>
  <si>
    <t xml:space="preserve">Total de PIs</t>
  </si>
  <si>
    <t xml:space="preserve">Patentes</t>
  </si>
  <si>
    <t xml:space="preserve">Softwares</t>
  </si>
  <si>
    <t xml:space="preserve">Concedidas/Cert.</t>
  </si>
  <si>
    <t xml:space="preserve">Total por Tipo de PI</t>
  </si>
  <si>
    <t xml:space="preserve">Por Status</t>
  </si>
  <si>
    <t xml:space="preserve">Depósitos por Ano</t>
  </si>
  <si>
    <t xml:space="preserve">Ranking por Campus</t>
  </si>
  <si>
    <t xml:space="preserve">Patente de Invenção</t>
  </si>
  <si>
    <t xml:space="preserve">Certificado Emitido</t>
  </si>
  <si>
    <t xml:space="preserve">2009</t>
  </si>
  <si>
    <t xml:space="preserve">Monte Castelo</t>
  </si>
  <si>
    <t xml:space="preserve">Modelo de Utilidade</t>
  </si>
  <si>
    <t xml:space="preserve">Concedida</t>
  </si>
  <si>
    <t xml:space="preserve">2010</t>
  </si>
  <si>
    <t xml:space="preserve">Imperatriz</t>
  </si>
  <si>
    <t xml:space="preserve">Software</t>
  </si>
  <si>
    <t xml:space="preserve">Deferida</t>
  </si>
  <si>
    <t xml:space="preserve">2011</t>
  </si>
  <si>
    <t xml:space="preserve">Reitoria</t>
  </si>
  <si>
    <t xml:space="preserve">Marca</t>
  </si>
  <si>
    <t xml:space="preserve">Em andamento</t>
  </si>
  <si>
    <t xml:space="preserve">2012</t>
  </si>
  <si>
    <t xml:space="preserve">Caxias</t>
  </si>
  <si>
    <t xml:space="preserve">Desenho Industrial</t>
  </si>
  <si>
    <t xml:space="preserve">Em exame</t>
  </si>
  <si>
    <t xml:space="preserve">2013</t>
  </si>
  <si>
    <t xml:space="preserve">Araioses</t>
  </si>
  <si>
    <t xml:space="preserve">TOTAL</t>
  </si>
  <si>
    <t xml:space="preserve">Depositado</t>
  </si>
  <si>
    <t xml:space="preserve">2014</t>
  </si>
  <si>
    <t xml:space="preserve">Açailândia</t>
  </si>
  <si>
    <t xml:space="preserve">Aguardando Certificado</t>
  </si>
  <si>
    <t xml:space="preserve">2015</t>
  </si>
  <si>
    <t xml:space="preserve">Timon</t>
  </si>
  <si>
    <t xml:space="preserve">Indeferida</t>
  </si>
  <si>
    <t xml:space="preserve">2016</t>
  </si>
  <si>
    <t xml:space="preserve">Grajaú</t>
  </si>
  <si>
    <t xml:space="preserve">Arquivada</t>
  </si>
  <si>
    <t xml:space="preserve">2017</t>
  </si>
  <si>
    <t xml:space="preserve">Maracanã</t>
  </si>
  <si>
    <t xml:space="preserve">Anulado</t>
  </si>
  <si>
    <t xml:space="preserve">2018</t>
  </si>
  <si>
    <t xml:space="preserve">Codó</t>
  </si>
  <si>
    <t xml:space="preserve">Em sigilo</t>
  </si>
  <si>
    <t xml:space="preserve">2019</t>
  </si>
  <si>
    <t xml:space="preserve">São José de Ribamar</t>
  </si>
  <si>
    <t xml:space="preserve">2020</t>
  </si>
  <si>
    <t xml:space="preserve">São João dos Patos</t>
  </si>
  <si>
    <t xml:space="preserve">2021</t>
  </si>
  <si>
    <t xml:space="preserve">Centro Histórico</t>
  </si>
  <si>
    <t xml:space="preserve">2022</t>
  </si>
  <si>
    <t xml:space="preserve">Alcântara</t>
  </si>
  <si>
    <t xml:space="preserve">2023</t>
  </si>
  <si>
    <t xml:space="preserve">Barra do Corda</t>
  </si>
  <si>
    <t xml:space="preserve">2024</t>
  </si>
  <si>
    <t xml:space="preserve">Cotitular</t>
  </si>
  <si>
    <t xml:space="preserve">2025</t>
  </si>
  <si>
    <t xml:space="preserve">Não informado</t>
  </si>
  <si>
    <t xml:space="preserve">2026</t>
  </si>
  <si>
    <t xml:space="preserve">IFMA — REGISTRO DE PROPRIEDADE INTELECTUAL</t>
  </si>
  <si>
    <t xml:space="preserve">#</t>
  </si>
  <si>
    <t xml:space="preserve">Tipo</t>
  </si>
  <si>
    <t xml:space="preserve">Título</t>
  </si>
  <si>
    <t xml:space="preserve">Campus</t>
  </si>
  <si>
    <t xml:space="preserve">Autor(es)</t>
  </si>
  <si>
    <t xml:space="preserve">Nº do Processo</t>
  </si>
  <si>
    <t xml:space="preserve">Data de Depósito</t>
  </si>
  <si>
    <t xml:space="preserve">Status</t>
  </si>
  <si>
    <t xml:space="preserve">Data do Status</t>
  </si>
  <si>
    <t xml:space="preserve">Observações</t>
  </si>
  <si>
    <t xml:space="preserve">PADRÃO ORNAMENTAL APLICADO A/EM JOGO DE CARTAS</t>
  </si>
  <si>
    <t xml:space="preserve">DAILSON COELHO ABREU</t>
  </si>
  <si>
    <t xml:space="preserve">BR 30 2024 001621 2</t>
  </si>
  <si>
    <t xml:space="preserve">04/04/2024</t>
  </si>
  <si>
    <t xml:space="preserve">ESTOJOS DE BARALHO</t>
  </si>
  <si>
    <t xml:space="preserve">BR 32 2025 000148 2</t>
  </si>
  <si>
    <t xml:space="preserve">14/01/2025</t>
  </si>
  <si>
    <t xml:space="preserve">PEÇAS DE TABULEIRO</t>
  </si>
  <si>
    <t xml:space="preserve">RAIFRAN ABIDIMAR DE CASTRO</t>
  </si>
  <si>
    <t xml:space="preserve">BR 30 2025 008736 8</t>
  </si>
  <si>
    <t xml:space="preserve">18/12/2025</t>
  </si>
  <si>
    <t xml:space="preserve">FICHAS PARA JOGOS</t>
  </si>
  <si>
    <t xml:space="preserve">BR 30 2025 007116 0</t>
  </si>
  <si>
    <t xml:space="preserve">21/10/2025</t>
  </si>
  <si>
    <t xml:space="preserve">SUPORTES PARA CARTAS [PARA JOGOS DE CARTAS]</t>
  </si>
  <si>
    <t xml:space="preserve">BR 30 2025 007118 6</t>
  </si>
  <si>
    <t xml:space="preserve">PADRÃO ORNAMENTAL APLICADO A/FOTOGRAFIA</t>
  </si>
  <si>
    <t xml:space="preserve">IVANA MÁRCIA OLIVEIRA MAIA</t>
  </si>
  <si>
    <t xml:space="preserve">BR 30 2024 001932 7</t>
  </si>
  <si>
    <t xml:space="preserve">23/04/2024</t>
  </si>
  <si>
    <t xml:space="preserve">PoliTeCs Políticas Públicas, Tecnologias Sociais e Ações
Mitigadoras para Sociedade do século XXI</t>
  </si>
  <si>
    <t xml:space="preserve">RAIFRAN ABIDIMAR</t>
  </si>
  <si>
    <t xml:space="preserve">937675342</t>
  </si>
  <si>
    <t xml:space="preserve">16/01/2025</t>
  </si>
  <si>
    <t xml:space="preserve">CidBeeS Gestão Democrático-Participativa de Cidades e
Sustentabilidade Socioambiental</t>
  </si>
  <si>
    <t xml:space="preserve">937676101</t>
  </si>
  <si>
    <t xml:space="preserve">SiiGiT- NCL 28</t>
  </si>
  <si>
    <t xml:space="preserve">937675024</t>
  </si>
  <si>
    <t xml:space="preserve">SiiGiT- NCL 41</t>
  </si>
  <si>
    <t xml:space="preserve">937674702</t>
  </si>
  <si>
    <t xml:space="preserve">Deck Parasite</t>
  </si>
  <si>
    <t xml:space="preserve">933640714</t>
  </si>
  <si>
    <t xml:space="preserve">26/02/2024</t>
  </si>
  <si>
    <t xml:space="preserve">Protocolado cumprimento de exigência em 19/11/2025</t>
  </si>
  <si>
    <t xml:space="preserve">DanTUS Degradação Ambiental, Territorialização e Sustentabilidade</t>
  </si>
  <si>
    <t xml:space="preserve">IFMA</t>
  </si>
  <si>
    <t xml:space="preserve">934427151</t>
  </si>
  <si>
    <t xml:space="preserve">30/04/2024</t>
  </si>
  <si>
    <t xml:space="preserve">Concessão de Registro. Renovar registro em 2035.</t>
  </si>
  <si>
    <t xml:space="preserve">InterPoIS Geopolítica, Desenvolvimento Socioeconômico e
Sustentabilidade</t>
  </si>
  <si>
    <t xml:space="preserve">934426970</t>
  </si>
  <si>
    <t xml:space="preserve">exame de mérito</t>
  </si>
  <si>
    <t xml:space="preserve">MERMÃS DIGITAIS</t>
  </si>
  <si>
    <t xml:space="preserve">IMPERATRIZ</t>
  </si>
  <si>
    <t xml:space="preserve">SIMONE AZEVEDO/ LAILLA GALENO</t>
  </si>
  <si>
    <t xml:space="preserve">933678290</t>
  </si>
  <si>
    <t xml:space="preserve">28/02/2024</t>
  </si>
  <si>
    <t xml:space="preserve">TEIA DESIGN LAB - NCL 9</t>
  </si>
  <si>
    <t xml:space="preserve">CAMILA ANDRADE DOS SANTOS</t>
  </si>
  <si>
    <t xml:space="preserve">940468603</t>
  </si>
  <si>
    <t xml:space="preserve">06/08/2025</t>
  </si>
  <si>
    <t xml:space="preserve">Protocolada</t>
  </si>
  <si>
    <t xml:space="preserve">TEIA DESIGN LAB - NCL 41</t>
  </si>
  <si>
    <t xml:space="preserve">940469138</t>
  </si>
  <si>
    <t xml:space="preserve">TEIA DESIGN LAB - NCL 42</t>
  </si>
  <si>
    <t xml:space="preserve">940468980</t>
  </si>
  <si>
    <t xml:space="preserve">buddy robotics</t>
  </si>
  <si>
    <t xml:space="preserve">MARCELO EUGENIO</t>
  </si>
  <si>
    <t xml:space="preserve">938447343</t>
  </si>
  <si>
    <t xml:space="preserve">21/03/2025</t>
  </si>
  <si>
    <t xml:space="preserve">PPGCA Programa de Pós-Graduação em Computação Aplicada</t>
  </si>
  <si>
    <t xml:space="preserve">OMAR ANDRES CARMONA CORTES</t>
  </si>
  <si>
    <t xml:space="preserve">938448226</t>
  </si>
  <si>
    <t xml:space="preserve">LABENSAIOS-Laboratório de Ensaios Mecânicos e Termomecânicos</t>
  </si>
  <si>
    <t xml:space="preserve">SAMUEL FILGUEIRAS RODRIGUES</t>
  </si>
  <si>
    <t xml:space="preserve">938486594</t>
  </si>
  <si>
    <t xml:space="preserve">25/03/2025</t>
  </si>
  <si>
    <t xml:space="preserve">AÇAÍMOV</t>
  </si>
  <si>
    <t xml:space="preserve">BREHME D NAPOLI REIS DE MESQUITA</t>
  </si>
  <si>
    <t xml:space="preserve">935644822</t>
  </si>
  <si>
    <t xml:space="preserve">01/08/2024</t>
  </si>
  <si>
    <t xml:space="preserve">Fabrica de Inovação</t>
  </si>
  <si>
    <t xml:space="preserve">930353870</t>
  </si>
  <si>
    <t xml:space="preserve">08/05/2023</t>
  </si>
  <si>
    <t xml:space="preserve">Concessão de Registro. Renovar regsitro em 2034.</t>
  </si>
  <si>
    <t xml:space="preserve">Editora IFMA</t>
  </si>
  <si>
    <t xml:space="preserve">930353862</t>
  </si>
  <si>
    <t xml:space="preserve">Concessão de Registro. Renovar regsitro em 2033.</t>
  </si>
  <si>
    <t xml:space="preserve">[re]design</t>
  </si>
  <si>
    <t xml:space="preserve">942372620</t>
  </si>
  <si>
    <t xml:space="preserve">09/01/2026</t>
  </si>
  <si>
    <t xml:space="preserve">Innovation factory</t>
  </si>
  <si>
    <t xml:space="preserve">936573295</t>
  </si>
  <si>
    <t xml:space="preserve">10/10/2024</t>
  </si>
  <si>
    <t xml:space="preserve">protocolada</t>
  </si>
  <si>
    <t xml:space="preserve">936572736</t>
  </si>
  <si>
    <t xml:space="preserve">NÚCLEO DE DESIGN E TECNOLOGIAS DA INFORMAÇÃO E COMUNICAÇÃO</t>
  </si>
  <si>
    <t xml:space="preserve">942995031</t>
  </si>
  <si>
    <t xml:space="preserve">11/03/2026</t>
  </si>
  <si>
    <t xml:space="preserve">Astronomia no Sertão</t>
  </si>
  <si>
    <t xml:space="preserve">930393848</t>
  </si>
  <si>
    <t xml:space="preserve">11/05/2023</t>
  </si>
  <si>
    <t xml:space="preserve">Registro deferido. Aguardando pagamento da taxa de concessão do registro.</t>
  </si>
  <si>
    <t xml:space="preserve">SETE PERGUNTAS PODCAST</t>
  </si>
  <si>
    <t xml:space="preserve">937659738</t>
  </si>
  <si>
    <t xml:space="preserve">15/01/2025</t>
  </si>
  <si>
    <t xml:space="preserve">Publicado para apresentação de oposição</t>
  </si>
  <si>
    <t xml:space="preserve">IFMA AFIRMATIVO</t>
  </si>
  <si>
    <t xml:space="preserve">942276795</t>
  </si>
  <si>
    <t xml:space="preserve">23/12/2025</t>
  </si>
  <si>
    <t xml:space="preserve">IFMA LIVRE DE VIOLÊNCIA DE GÊNERO</t>
  </si>
  <si>
    <t xml:space="preserve">942241649</t>
  </si>
  <si>
    <t xml:space="preserve">IFMA NO MUNDO</t>
  </si>
  <si>
    <t xml:space="preserve">942276949</t>
  </si>
  <si>
    <t xml:space="preserve">IFMA Sustentável</t>
  </si>
  <si>
    <t xml:space="preserve">942279336</t>
  </si>
  <si>
    <t xml:space="preserve">IFMA DIGITAL</t>
  </si>
  <si>
    <t xml:space="preserve">942278089</t>
  </si>
  <si>
    <t xml:space="preserve">Laboratórios Inteligentes IFMA</t>
  </si>
  <si>
    <t xml:space="preserve">942277597</t>
  </si>
  <si>
    <t xml:space="preserve">MEMORIAL IFMA</t>
  </si>
  <si>
    <t xml:space="preserve">942277708</t>
  </si>
  <si>
    <t xml:space="preserve">OBSERVATÓRIO DE APL'S</t>
  </si>
  <si>
    <t xml:space="preserve">942277902</t>
  </si>
  <si>
    <t xml:space="preserve">Processo Eletrônico Projeto Estratégico</t>
  </si>
  <si>
    <t xml:space="preserve">942277422</t>
  </si>
  <si>
    <t xml:space="preserve">Mara BIOTECH</t>
  </si>
  <si>
    <t xml:space="preserve">FABIA HOLANDA DE BRITO</t>
  </si>
  <si>
    <t xml:space="preserve">939116278</t>
  </si>
  <si>
    <t xml:space="preserve">13/05/2025</t>
  </si>
  <si>
    <t xml:space="preserve">IFMA CAST - NCL38</t>
  </si>
  <si>
    <t xml:space="preserve">NARA SUELLEN LEONCIO CHAVES</t>
  </si>
  <si>
    <t xml:space="preserve">940468433</t>
  </si>
  <si>
    <t xml:space="preserve">DISPOSITIVO DE PROTEÇÃO E HIGIENIZAÇÃO/DESINFECÇÃO PARA ESPONJAS DE COZINHA</t>
  </si>
  <si>
    <t xml:space="preserve">LUIS MESQUITA DE SOUSA FILHO</t>
  </si>
  <si>
    <t xml:space="preserve">BR 10 2020 005111 3</t>
  </si>
  <si>
    <t xml:space="preserve">13/03/2020</t>
  </si>
  <si>
    <t xml:space="preserve">O pedido foi notificado pelo INPI na RPI nº 2827, de 11/03/25, onde foi apontado falta de novidade / atividade inventiva, apresentando anterioridades muito similares. Após reunião com os inventores, no dia 24/03/25, ficou claro que não haveria possib</t>
  </si>
  <si>
    <t xml:space="preserve">PRENSA TÉRMICA PARA PLASTIFICAÇÃO E MISTURA COMPACTA DE MATERIAL POLIMÉRICO</t>
  </si>
  <si>
    <t xml:space="preserve">BRUNO LEONARDY SOUSA LOPES</t>
  </si>
  <si>
    <t xml:space="preserve">BR 20 2022 000265 2</t>
  </si>
  <si>
    <t xml:space="preserve">07/01/2022</t>
  </si>
  <si>
    <t xml:space="preserve">CAIXA MODULAR RÍGIDA DE CRIAÇÃO RACIONAL DE ABELHAS
SEM FERRÃO</t>
  </si>
  <si>
    <t xml:space="preserve">GRA</t>
  </si>
  <si>
    <t xml:space="preserve">LUIZ OTÁVIO DE OLIVEIRA SOUZA JUNIOR</t>
  </si>
  <si>
    <t xml:space="preserve">BR 10 2026 005212 4</t>
  </si>
  <si>
    <t xml:space="preserve">05/03/2026</t>
  </si>
  <si>
    <t xml:space="preserve">DISPOSITIVO PORTÁTIL PARA A EXTRAÇÃO DE MEL DE ABELHAS NATIVAS SEM FERRÃO</t>
  </si>
  <si>
    <t xml:space="preserve">WEVERTON FILGUEIRA PACHECO</t>
  </si>
  <si>
    <t xml:space="preserve">BR 20 2026 007835 8</t>
  </si>
  <si>
    <t xml:space="preserve">31/03/2026</t>
  </si>
  <si>
    <t xml:space="preserve">POSTO DE TRABALHO ERGONÔMICO PARA QUEBRADEIRAS DE COCO BABAÇU</t>
  </si>
  <si>
    <t xml:space="preserve">SCHEILA REGINA GOMES ALVES</t>
  </si>
  <si>
    <t xml:space="preserve">BR 20 2021 008801 5</t>
  </si>
  <si>
    <t xml:space="preserve">05/05/2021</t>
  </si>
  <si>
    <t xml:space="preserve">Foi arquivada em 17/09/2019 (BR 20 2019 010913 6), por falta de cumprimento de exigência na data de 23/07/2017, porém foi REDEPOSITADA na com nova numeração BR 20 2021 008801 5 e está publicada/ativa no INPI. PAGAMENTO DE ANUIDADE SOLICITADO</t>
  </si>
  <si>
    <t xml:space="preserve">APARELHO ERGOMÉTRICO PARA A REALIZAÇÃO DE ATIVIDADES FÍSICAS POR PARAPLÉGICOS</t>
  </si>
  <si>
    <t xml:space="preserve">KEYLL CARLOS RIBEIRO MARTINS (PATENTE CONCEDIDA)</t>
  </si>
  <si>
    <t xml:space="preserve">BR 20 2019 000491 1</t>
  </si>
  <si>
    <t xml:space="preserve">10/01/2019</t>
  </si>
  <si>
    <t xml:space="preserve">ATIVO/SIGILO</t>
  </si>
  <si>
    <t xml:space="preserve">BICICLETA ERGOMÉTRICA PARA CADEIRANTES</t>
  </si>
  <si>
    <t xml:space="preserve">KEYLL CARLOS RIBEIRO MARTINS</t>
  </si>
  <si>
    <t xml:space="preserve">BR 20 2021 000594 2</t>
  </si>
  <si>
    <t xml:space="preserve">13/01/2021</t>
  </si>
  <si>
    <t xml:space="preserve">ATIVA</t>
  </si>
  <si>
    <t xml:space="preserve">DETECTOR DE FALHAS NO ABASTECIMENTO DE POSTOS DE COMBUSTÍVEIS</t>
  </si>
  <si>
    <t xml:space="preserve">LUCILENE FERREIRA MOUZINHO</t>
  </si>
  <si>
    <t xml:space="preserve">15/12/2015</t>
  </si>
  <si>
    <t xml:space="preserve">6.22 Exigência preliminar - pedidos sem buscas realizadas por outros Escritórios de Patentes/ cumprimento de exigência realizado enviado 29/04/2022</t>
  </si>
  <si>
    <t xml:space="preserve">ARMADILHA LUMINOSA SOLAR ENTOMOLÓGICA</t>
  </si>
  <si>
    <t xml:space="preserve">CARLOS MAGNO DOS ANJOS VERAS</t>
  </si>
  <si>
    <t xml:space="preserve">BR 10 2024 024123 1</t>
  </si>
  <si>
    <t xml:space="preserve">20/11/2024</t>
  </si>
  <si>
    <t xml:space="preserve">“SISTEMA DE SECAGEM EM PEQUENA ESCALA DE BIOMATERIAIS
PRODUZIDOS PELO MÉTODO CASTING”</t>
  </si>
  <si>
    <t xml:space="preserve">JOSILENE LIMA SERRA</t>
  </si>
  <si>
    <t xml:space="preserve">BR 20 2025 010203 5</t>
  </si>
  <si>
    <t xml:space="preserve">21/05/2025</t>
  </si>
  <si>
    <t xml:space="preserve">MÁQUINA DE BANCADA PARA A OBTENÇÃO DE FIBRAS
POLIMÉRICAS POR FUSÃO</t>
  </si>
  <si>
    <t xml:space="preserve">GRICIRENE SOUSA CORREIA</t>
  </si>
  <si>
    <t xml:space="preserve">BR 20 2024 017113 1</t>
  </si>
  <si>
    <t xml:space="preserve">21/08/2024</t>
  </si>
  <si>
    <t xml:space="preserve">Pedido com numeração anulada (depósito não reconhecido pelo INPI por erros formais). Corrigir os erros com a professora e proceder com novo depósito.</t>
  </si>
  <si>
    <t xml:space="preserve">BR 20 2025 013149 3</t>
  </si>
  <si>
    <t xml:space="preserve">25/06/2025</t>
  </si>
  <si>
    <t xml:space="preserve">MODELO DE UTILIDADE DE SISTEMA DE SECAGEM EM PEQUENA ESCALA DE BIOMATERIAIS PRODUZIDOS PELO MÉTODO CASTING</t>
  </si>
  <si>
    <t xml:space="preserve">BR 20 2026 007804 8</t>
  </si>
  <si>
    <t xml:space="preserve">“ANTENA DE CIRCUITO IMPRESSO ESPIRAL FLEXÍVEL APLICADA A
INTERNET DAS COISAS DE BANDA ESTREITA”</t>
  </si>
  <si>
    <t xml:space="preserve">PAULO HENRIQUE BEZERRA DE CARVALHO</t>
  </si>
  <si>
    <t xml:space="preserve">BR 10 2023 025152 8</t>
  </si>
  <si>
    <t xml:space="preserve">30/11/2023</t>
  </si>
  <si>
    <t xml:space="preserve">PATENTE CO-TITULAR COM UEMA E UFMA</t>
  </si>
  <si>
    <t xml:space="preserve">APARELHO DE COMUNICAÇÃO LUMINOSA</t>
  </si>
  <si>
    <t xml:space="preserve">PFR</t>
  </si>
  <si>
    <t xml:space="preserve">WELINGTON DOMINGOS ALVES</t>
  </si>
  <si>
    <t xml:space="preserve">BR 20 2021 020267 5</t>
  </si>
  <si>
    <t xml:space="preserve">08/10/2021</t>
  </si>
  <si>
    <t xml:space="preserve">CABINE DE DESINFECÇÃO INDIVIDUAL</t>
  </si>
  <si>
    <t xml:space="preserve">LETÍCIA CABRAL CORREIA</t>
  </si>
  <si>
    <t xml:space="preserve">BR 10 2020 013779 4</t>
  </si>
  <si>
    <t xml:space="preserve">06/07/2020</t>
  </si>
  <si>
    <t xml:space="preserve">NOVA ROTA DE SÍNTESE DE L-TRIPTOFANO COM ÁCIDO FUMÁRICO HIDRATADO</t>
  </si>
  <si>
    <t xml:space="preserve">ACA</t>
  </si>
  <si>
    <t xml:space="preserve">JHONATAM DE OLIVEIRA CARVALHO</t>
  </si>
  <si>
    <t xml:space="preserve">BR 10 2024 003752 9</t>
  </si>
  <si>
    <t xml:space="preserve">BIODIESEL A PARTIR DO ÓLEO DE COCO BABAÇU (ORBIGNYA SPECIOSA MART.)</t>
  </si>
  <si>
    <t xml:space="preserve">ANA ANGÉLICA MATHIAS MACÊDO</t>
  </si>
  <si>
    <t xml:space="preserve">BR 10 2021 004768 2</t>
  </si>
  <si>
    <t xml:space="preserve">BIODIESEL A PARTIR DO AZEITE DE COCO BABAÇU (Orbignya speciosa Mart.)</t>
  </si>
  <si>
    <t xml:space="preserve">BR 10 2021 004720 8</t>
  </si>
  <si>
    <t xml:space="preserve">FILME COMPÓSITO POLIMÉRICO COM CRISTAL COMPLEXADO DE AMINOÁCIDO E PROCESSO DE OBTENÇÃO</t>
  </si>
  <si>
    <t xml:space="preserve">BR 10 2019 013701 0</t>
  </si>
  <si>
    <t xml:space="preserve">01/01/1970</t>
  </si>
  <si>
    <t xml:space="preserve">9.2 Indeferimento
Pedido indeferido por falta de manifestação ao parecer técnico publicado pelo INPI. O pedido não atendia ao requisito de novidade, em decorrência da reivindicação 1 já ter sido antecipada por documentos e não caber alteração do tex</t>
  </si>
  <si>
    <t xml:space="preserve">ÁGUA AROMATIZADA</t>
  </si>
  <si>
    <t xml:space="preserve">BR 10 2021 003920 5</t>
  </si>
  <si>
    <t xml:space="preserve">01/03/2021</t>
  </si>
  <si>
    <t xml:space="preserve">PROCESSO PARA PRODUÇÃO DE ISOLANTE ELÉTRICO CONTENDO MINERAL MICA E GALACTOMANANA</t>
  </si>
  <si>
    <t xml:space="preserve">BR 10 2018 006775 3</t>
  </si>
  <si>
    <t xml:space="preserve">04/04/2018</t>
  </si>
  <si>
    <t xml:space="preserve">9.2. INDEFERIMENTO. A pesquisadora foi informada. Estamos aguardando retorno do documento para protocolar recurso do indeferimento. PRAZO: 08/11.</t>
  </si>
  <si>
    <t xml:space="preserve">MICROESFERAS DE QUITOSANA COM CRISTAL TERNÁRIO DE COBRE (II) COMPLEXADO COM 1,10-FENANTROLINA E L-
TIROSINA</t>
  </si>
  <si>
    <t xml:space="preserve">BR 10 2022 008725 3</t>
  </si>
  <si>
    <t xml:space="preserve">05/05/2022</t>
  </si>
  <si>
    <t xml:space="preserve">SÍNTESE DE UM CRISTAL EMISSOR DE LUZ VERMELHA FORMADO POR L-TREONINA DOPADA COM Eu3+ PARA APLICAÇÃO EM MARCADORES BIOLUMINESCENTES</t>
  </si>
  <si>
    <t xml:space="preserve">BR 10 2021 004353 9</t>
  </si>
  <si>
    <t xml:space="preserve">08/03/2021</t>
  </si>
  <si>
    <t xml:space="preserve">MICROESFERAS DE QUITOSANA COMPLEXADAS A METAIS DE TRANSIÇÃO</t>
  </si>
  <si>
    <t xml:space="preserve">BR 10 2021 004422 5</t>
  </si>
  <si>
    <t xml:space="preserve">09/03/2021</t>
  </si>
  <si>
    <t xml:space="preserve">MICROESFERAS REVESTIDAS COM ALGINATO DE SÓDIUM À BASE DE CRISTAIS DE L-TREONINA E COBALTO (II) PARA APLICAÇÃO COMO SENSOR DE TEMPERATURA</t>
  </si>
  <si>
    <t xml:space="preserve">ANA ANGÉLICA MATHIAS MACÊDO (CARTA PATENTE CONCEDIDA)</t>
  </si>
  <si>
    <t xml:space="preserve">BR 10 2020 000741 6</t>
  </si>
  <si>
    <t xml:space="preserve">13/01/2020</t>
  </si>
  <si>
    <t xml:space="preserve">CARTA PATENTE EXPEDIDA EM 06/05/2025. OBSERVAR OS CÓDIGOS DE PAGAMENTO DE ANUIDADE DE PATENTE DE INVENÇÃO REFERENTE AO ANO.</t>
  </si>
  <si>
    <t xml:space="preserve">CRISTAL DE CLOROBROMETO DE BIS-GLICINA E SEU USO</t>
  </si>
  <si>
    <t xml:space="preserve">BR 10 2021 016065 9</t>
  </si>
  <si>
    <t xml:space="preserve">13/08/2021</t>
  </si>
  <si>
    <t xml:space="preserve">Pedido depositado pela UFMA. Não encontramos e-mail informando o depósito ou enviando procuração para depósito.</t>
  </si>
  <si>
    <t xml:space="preserve">NOVO CRISTAL TERNÁRIO DE 1,10 FENANTROLINA E LMETIONINA COMPLEXADO COM COBRE (II) COM POTENCIAL INIBITÓRIO PARA CÉLULAS CANCERÍGENAS</t>
  </si>
  <si>
    <t xml:space="preserve">BR 10 2020 000797 1</t>
  </si>
  <si>
    <t xml:space="preserve">14/01/2020</t>
  </si>
  <si>
    <t xml:space="preserve">PREPARAÇÃO DE MICROESFERAS REVESTIDAS DE ALGINATO DE SÓDIO A BASE DE CRISTAIS DE L-VALINA COMPLEXADAS COM ÍONS DE NÍQUEL (II) APLICADAS COMO MICRONUTRIENTES PARA PLANTAS</t>
  </si>
  <si>
    <t xml:space="preserve">BR 10 2020 000877 3</t>
  </si>
  <si>
    <t xml:space="preserve">15/01/2020</t>
  </si>
  <si>
    <t xml:space="preserve">PROCESSO METODOLÓGICO PARA O PREPARO DO AGENTE ANTITUMORAL DE Cu(II) COM GLICINA E 1,10-FENANTROLINA NA FORMA CRISTALINA DISPERSO EM QUITOSANA PARA OBTENÇÃO DE FILMES INORGÂNICOS BIODEGRADÁVEIS</t>
  </si>
  <si>
    <t xml:space="preserve">BR 10 2020 000904 4</t>
  </si>
  <si>
    <t xml:space="preserve">COLA ISOLANTE ELÉTRICA BIODEGRADÁVEL</t>
  </si>
  <si>
    <t xml:space="preserve">BR 10 2018 071282 9</t>
  </si>
  <si>
    <t xml:space="preserve">16/10/2018</t>
  </si>
  <si>
    <t xml:space="preserve">INDEFERIDA</t>
  </si>
  <si>
    <t xml:space="preserve">MICROESFERAS DE ALGINATO COMPLEXADAS A METAIS DE TRANSIÇÃO</t>
  </si>
  <si>
    <t xml:space="preserve">BR 10 2018 076272 9</t>
  </si>
  <si>
    <t xml:space="preserve">17/12/2018</t>
  </si>
  <si>
    <t xml:space="preserve">9.2 Indeferimento.
Indeferido o pedido por não atender aos requisitos legais, conforme parecer técnico. A cópia do parecer técnico poderá ser solicitada através do formulário modelo 1.05. Desta data corre o prazo de 60 (sessenta) dias para eventual </t>
  </si>
  <si>
    <t xml:space="preserve">CAPACITORES BIOCOMPATÍVEIS A PARTIR DE MATERIAL VEGETAL</t>
  </si>
  <si>
    <t xml:space="preserve">ANA ANGÉLICA</t>
  </si>
  <si>
    <t xml:space="preserve">BR 10 2024 012499 5</t>
  </si>
  <si>
    <t xml:space="preserve">19/06/2024</t>
  </si>
  <si>
    <t xml:space="preserve">EMBALAGEM BIODEGRADÁVEL REFORÇADA COM RESÍDUOS DE ACEROLA E PROCESSO DE OBTENÇÃO DO MESMO</t>
  </si>
  <si>
    <t xml:space="preserve">BR 10 2024 012536 3</t>
  </si>
  <si>
    <t xml:space="preserve">Protocolado cumprimento de exigência.</t>
  </si>
  <si>
    <t xml:space="preserve">FILME BIODEGRADÁVEL À BASE DE CASCA DE BANANA E GALACTOMANA EXTRAÍDA DE SEMENTES DE Adenanthera pavonina L.</t>
  </si>
  <si>
    <t xml:space="preserve">ANA ANGÉLICA MATHIAS MACÊDO (PATENTE CONCEDIDA)</t>
  </si>
  <si>
    <t xml:space="preserve">BR 10 2018 001266 5</t>
  </si>
  <si>
    <t xml:space="preserve">22/01/2018</t>
  </si>
  <si>
    <t xml:space="preserve">Problema: A 3ª anuidade que tinha prazo 22/01/2020 a 22/04/2020 (ordinário) e 23/04/2020 a 22/10/2020 (extraordinário), foi pago no ano de 2021, totalmente fora do prazo já entrando para a 4ª anuidade. Abrir Fale conosco informando que foi efetuado p</t>
  </si>
  <si>
    <t xml:space="preserve">PROCESSO DE RETICULAÇÃO DE FIBRAS NATURAIS</t>
  </si>
  <si>
    <t xml:space="preserve">BR 10 2024 022026 9</t>
  </si>
  <si>
    <t xml:space="preserve">23/10/2024</t>
  </si>
  <si>
    <t xml:space="preserve">AGUARDANDO PUBLICAÇÃO</t>
  </si>
  <si>
    <t xml:space="preserve">FILME PARA REVESTIMENTO DE PRÓTESE VASCULAR E PROCESSO DE OBTENÇÃO</t>
  </si>
  <si>
    <t xml:space="preserve">BR 10 2020 003923 7</t>
  </si>
  <si>
    <t xml:space="preserve">27/02/2020</t>
  </si>
  <si>
    <t xml:space="preserve">PASTA PARA CIMENTO ODONTOLÓGICO E PROCESSO DE OBTENÇÃO</t>
  </si>
  <si>
    <t xml:space="preserve">BR 10 2020 004042 1</t>
  </si>
  <si>
    <t xml:space="preserve">28/02/2020</t>
  </si>
  <si>
    <t xml:space="preserve">HIDROCOLÓIDE CICATRIZANTE E ANTIMICROBIANO À BASE DE GALACTOMANANA E SEU PROCESSO
DE OBTENÇÃO</t>
  </si>
  <si>
    <t xml:space="preserve">118579 U</t>
  </si>
  <si>
    <t xml:space="preserve">28/03/2023</t>
  </si>
  <si>
    <t xml:space="preserve">PATENTE CO-TITULAR COM O INOPOL</t>
  </si>
  <si>
    <t xml:space="preserve">FILME CRISTALINO DE L-TREONINA COM COBRE (II) E GALACTOMANANA</t>
  </si>
  <si>
    <t xml:space="preserve">BR 10 2019 010859 2</t>
  </si>
  <si>
    <t xml:space="preserve">28/05/2019</t>
  </si>
  <si>
    <t xml:space="preserve">ANA ANGÉLICA MATHIAS MACEDO</t>
  </si>
  <si>
    <t xml:space="preserve">BR 10 2025 021075 4</t>
  </si>
  <si>
    <t xml:space="preserve">30/09/2025</t>
  </si>
  <si>
    <t xml:space="preserve">BEBIDA ALCOÓLICA A BASE DE MESOCARPO DE BABAÇU</t>
  </si>
  <si>
    <t xml:space="preserve">SILVIO CARLOS COELHO</t>
  </si>
  <si>
    <t xml:space="preserve">BR 10 2020 004314 5</t>
  </si>
  <si>
    <t xml:space="preserve">03/03/2020</t>
  </si>
  <si>
    <t xml:space="preserve">NUMERAÇÃO ANULADA. Em analise pela UFMA para retornar ou não o deposito</t>
  </si>
  <si>
    <t xml:space="preserve">PROCESSO DE OBTENÇÃO DE AGUARDENTE A PARTIR DE AMIDO</t>
  </si>
  <si>
    <t xml:space="preserve">FRANCISCO ALBUQUERQUE BASTOS</t>
  </si>
  <si>
    <t xml:space="preserve">BR 10 2017 015770 9</t>
  </si>
  <si>
    <t xml:space="preserve">24/07/2017</t>
  </si>
  <si>
    <t xml:space="preserve">Publicação 7.1 (RPI 2696 - 06/09/2022). Conhecimento de parecer técnico. Suspenso o andamento do pedido para que o depositante se manifeste, no prazo de 90 (noventa) dias desta data (05/12/2022), quanto ao contido no parecer técnico. A cópia do parec</t>
  </si>
  <si>
    <t xml:space="preserve">FORNO PARA REFUSÃO DE ALUMÍNIO UTILIZANDO AQUECIMENTO POR IRRADIAÇÃO DE MICRO-ONDAS</t>
  </si>
  <si>
    <t xml:space="preserve">JOMAR SALES VASCONCELOS</t>
  </si>
  <si>
    <t xml:space="preserve">PI 0920084-3</t>
  </si>
  <si>
    <t xml:space="preserve">01/12/2009</t>
  </si>
  <si>
    <t xml:space="preserve">ARQUIVADA/INDEFERIDAS PELO INPI</t>
  </si>
  <si>
    <t xml:space="preserve">FORMULAÇÃO DE SABONETE E HIDRATANTE OBTIDO A PARTIR DO EXTRATO HIDROALCOÓLICO DE Humiria balsamifera</t>
  </si>
  <si>
    <t xml:space="preserve">GEORGIANA EURIDES DE CARVALHO MARQUES</t>
  </si>
  <si>
    <t xml:space="preserve">BR 10 2021 004387 3</t>
  </si>
  <si>
    <t xml:space="preserve">FORMULAÇÃO DE SABONETE E HIDRATANTE OBTIDO A
PARTIR DO EXTRATO ALCOÓLICO À BASE DE FOLHAS DE
Duguetia furfuracea (A.St.-Hil.) Saf.</t>
  </si>
  <si>
    <t xml:space="preserve">BR 10 2023 008837 6</t>
  </si>
  <si>
    <t xml:space="preserve">09/05/2023</t>
  </si>
  <si>
    <t xml:space="preserve">TIJOLO CERÂMICO REFRATÁRIO E PROCESSO DE OBTENÇÃODO MESMO</t>
  </si>
  <si>
    <t xml:space="preserve">ADRIANO LOURO ROCHA</t>
  </si>
  <si>
    <t xml:space="preserve">BR 10 2026 000761 7</t>
  </si>
  <si>
    <t xml:space="preserve">13/01/2026</t>
  </si>
  <si>
    <t xml:space="preserve">CATALISADORES TRIMETÁLICOS OBTIDOS POR COMBUSTÃO ASSISTIDA POR MICRO-ONDAS PARA REFORMA CATALÍTICA DO METANO</t>
  </si>
  <si>
    <t xml:space="preserve">GILVAN PEREIRA DE FIGUEREDO</t>
  </si>
  <si>
    <t xml:space="preserve">BR 10 2020 007306 0</t>
  </si>
  <si>
    <t xml:space="preserve">13/04/2020</t>
  </si>
  <si>
    <t xml:space="preserve">ATIVO</t>
  </si>
  <si>
    <t xml:space="preserve">PRENSA ISOSTÁTICA E BANCADA MÓVEL DE PRENSA ISOSTÁTICA</t>
  </si>
  <si>
    <t xml:space="preserve">JOSÉ MANUEL RIVAS MERCURY (PATENTE CONCEDIDA)</t>
  </si>
  <si>
    <t xml:space="preserve">BR 10 2015 031419 1</t>
  </si>
  <si>
    <t xml:space="preserve">ATIVO/CNPJ ANTIGO. Aguardando a expedição da carta-patente</t>
  </si>
  <si>
    <t xml:space="preserve">PROCESSO DE EXTRAÇÃO DE DNA GENÔMICO DE FUNGOS FILAMENTOSOS E LEVEDURIFORMES</t>
  </si>
  <si>
    <t xml:space="preserve">CRISTINA DE ANDRADE MONTEIRO</t>
  </si>
  <si>
    <t xml:space="preserve">BR 10 2015 0314922</t>
  </si>
  <si>
    <t xml:space="preserve">16/12/2015</t>
  </si>
  <si>
    <t xml:space="preserve">9.2.4 - Mantido o indeferimento, uma vez que não foi apresentado recurso dentro do prazo legal.  RPI 2752, de 03/10/2023.</t>
  </si>
  <si>
    <t xml:space="preserve">KIT DE CONVERSÃO PAR MOTORIZAÇÃO EM CADEIRAS DE RODAS MECANOMANUAL</t>
  </si>
  <si>
    <t xml:space="preserve">BR 10 2015 031573 2</t>
  </si>
  <si>
    <t xml:space="preserve">Pesquisador notificado no dia 16/03. Servidor deu ciência. Arquivar Patente. 9.2 Indeferimento. Indeferido o pedido por não atender aos requisitos legais, conforme parecer técnico. A cópia do parecer técnico poderá ser solicitada através do formulári</t>
  </si>
  <si>
    <t xml:space="preserve">COMBINAÇÕES E FORMULAÇÕES ANTIFÚNGICAS A BASE DE CINAMALDEIDO</t>
  </si>
  <si>
    <t xml:space="preserve">BR 10 2020 023723 3</t>
  </si>
  <si>
    <t xml:space="preserve">20/11/2020</t>
  </si>
  <si>
    <t xml:space="preserve">Existem duas numerações anuladas BR 10 2019 013198 0/BR 10 2020 004393 5 po falta de cumprimento de exigência, foi REDEPOSITADA EM 13/01/2021- BR 20 2021 000594 2 ATIVO NO INPI. NUMERAÇÃO ANULADA (PESQUISADORA NOTIFICADA NO DIA 26/05/21 DA EXIGÊNCIA,</t>
  </si>
  <si>
    <t xml:space="preserve">DISPOSITIVO SENSORIAL OLFATIVO APLICADO Á DETERMINAÇÃO DE CONTAMINANTES NO LEITE</t>
  </si>
  <si>
    <t xml:space="preserve">BR 10 2015 029541 3</t>
  </si>
  <si>
    <t xml:space="preserve">23/11/2015</t>
  </si>
  <si>
    <t xml:space="preserve">Não atende à disposição do artigo 25 da LPI, por apresentar falta de precisão e clareza no quadro reivindicatório e contraria o artigo 8° combinado com o art. 13 da LPI, por conter reivindicações apresentando falta do requisito de patenteabilidade pa</t>
  </si>
  <si>
    <t xml:space="preserve">DISPOSITIVO ELETRÔNICO OLFATIVO APLICADO À CARACTERIZAÇÃO DE SUBPRODUTOS DE BIODIESEL</t>
  </si>
  <si>
    <t xml:space="preserve">BR 10 2015 029527 8</t>
  </si>
  <si>
    <t xml:space="preserve">MÉTODO PARA SINTERIZAÇÃO DE CERÂMICAS VARISTORAS EM FORNO MICRO-ONDAS ADAPTADO</t>
  </si>
  <si>
    <t xml:space="preserve">PI 0903171-5</t>
  </si>
  <si>
    <t xml:space="preserve">26/05/2009</t>
  </si>
  <si>
    <t xml:space="preserve">DISPOSITIVO ELETRÔNICO PORTÁTIL PARA DESINFECÇÃO DE CONDICIONADORES DE AR</t>
  </si>
  <si>
    <t xml:space="preserve">KIANY SIRLEY BRANDÃO CAVALCANTE</t>
  </si>
  <si>
    <t xml:space="preserve">BR 10 2015 012887 8</t>
  </si>
  <si>
    <t xml:space="preserve">26/05/2015</t>
  </si>
  <si>
    <t xml:space="preserve">Pesquisadores não retornaram exigência do INPI no prazo hábil. AGIFMA sugeriu mudança para MU mas não foi feita a adequação.</t>
  </si>
  <si>
    <t xml:space="preserve">PROCESSO DE OBTENÇÃO DE SENSOR OLFATIVO ARTIFICIAL PARA ANÁLISE DA QUALIDADE DE BIODIESEL</t>
  </si>
  <si>
    <t xml:space="preserve">BR 10 2012 019700 6</t>
  </si>
  <si>
    <t xml:space="preserve">26/07/2012</t>
  </si>
  <si>
    <t xml:space="preserve">PROCESSO DE OBTENÇÃO DE FILME BACTERICIDA BASEADO EM DIÓXIDO DE TITÂNIO NANOMÉTRICO</t>
  </si>
  <si>
    <t xml:space="preserve">BR 10 2012 013934 0</t>
  </si>
  <si>
    <t xml:space="preserve">30/05/2012</t>
  </si>
  <si>
    <t xml:space="preserve">FORMULAÇÕES BIOLARVICIDAS À BASE DA NANOEMULSÃO DO ÓLEO ESSENCIAL DE Dizygostemon riparius</t>
  </si>
  <si>
    <t xml:space="preserve">CLENILMA MARQUES BRANDÃO</t>
  </si>
  <si>
    <t xml:space="preserve">BR 10 2025 021078 9</t>
  </si>
  <si>
    <t xml:space="preserve">nan</t>
  </si>
  <si>
    <t xml:space="preserve">LEGENDAS</t>
  </si>
  <si>
    <t xml:space="preserve">DISPOSITIVO DE CONTROLE SEMAFÓRICO UTILIZANDO LÓGICA DIFUSA EMBARCADA</t>
  </si>
  <si>
    <t xml:space="preserve">ALEXANDRE SALES VASCONCELOS</t>
  </si>
  <si>
    <t xml:space="preserve">BR 10 2014 033131 0 A2</t>
  </si>
  <si>
    <t xml:space="preserve">19/12/2014</t>
  </si>
  <si>
    <t xml:space="preserve">COMPÓSITO DE POLIANILINA/FERRITA DE ZINCO, SEU PROCESSO DE
OBTENÇÃO E SEU USO COMO SENSOR DE GÁS FOTOTERMICAMENTE
ESTIMULADO</t>
  </si>
  <si>
    <t xml:space="preserve">BR 10 2026 004204 8</t>
  </si>
  <si>
    <t xml:space="preserve">23/02/2026</t>
  </si>
  <si>
    <t xml:space="preserve">UNIVERSO IF</t>
  </si>
  <si>
    <t xml:space="preserve">CTIT</t>
  </si>
  <si>
    <t xml:space="preserve">909098590</t>
  </si>
  <si>
    <t xml:space="preserve">ARQUIVADA</t>
  </si>
  <si>
    <t xml:space="preserve">MOLHO DE SALADA COM REDUZIDO TEOR DE GORDURA À
BASE DE VINAGREIRA (Hibiscus sabdariffae L.)</t>
  </si>
  <si>
    <t xml:space="preserve">ZDC</t>
  </si>
  <si>
    <t xml:space="preserve">MARCELO RODRIGUES MARQUES</t>
  </si>
  <si>
    <t xml:space="preserve">BR 10 2021 000494 0</t>
  </si>
  <si>
    <t xml:space="preserve">12/01/2021</t>
  </si>
  <si>
    <t xml:space="preserve">PlanIF</t>
  </si>
  <si>
    <t xml:space="preserve">ARIEL SOARES TELES; KAYK DE OLIVEIRA SILVA; EDIHALLEN SANTOS BRITO</t>
  </si>
  <si>
    <t xml:space="preserve">BR 51 2021 000895 2</t>
  </si>
  <si>
    <t xml:space="preserve">04/05/2021</t>
  </si>
  <si>
    <t xml:space="preserve">Arayos</t>
  </si>
  <si>
    <t xml:space="preserve">ARIEL SOARES TELES; RAFAEL CASTELLO BRANCO CIARLINI; ADVÂNIA ALVES SANTOS; GUSTAVO
PINTO FONSECA</t>
  </si>
  <si>
    <t xml:space="preserve">BR 51 2021 000860 0</t>
  </si>
  <si>
    <t xml:space="preserve">Rota dos Balaios</t>
  </si>
  <si>
    <t xml:space="preserve">ANTONIO KAUÃ LIMA DA COSTA; FRANCISCO MAGNO SALES SANTOS; JOSÉ CARLOS RODRIGUES DOS SANTOS NETO; RAFAEL CASTELLO BRANCO CIARLINI; ARIEL SOARES TELES</t>
  </si>
  <si>
    <t xml:space="preserve">BR 51 2022 003400-0</t>
  </si>
  <si>
    <t xml:space="preserve">07/12/2022</t>
  </si>
  <si>
    <t xml:space="preserve">APA Delta do Parnaíba - ICMBio</t>
  </si>
  <si>
    <t xml:space="preserve">ARIEL SOARES TELES; GUSTAVO PINTO FONSECA; MARCELO IURI SOARES SILVEIRA; DAVID LUCAS ALMEIDA SANTOS;LUCAS DANIEL BATISTA LIMA; MARIANE CARVALHO ARAÚJO</t>
  </si>
  <si>
    <t xml:space="preserve">BR 51 2023 002324-8</t>
  </si>
  <si>
    <t xml:space="preserve">08/08/2023</t>
  </si>
  <si>
    <t xml:space="preserve">SelPri: um aplicativo para postagem de conteúdo no Facebook com privacidade ciente de situação</t>
  </si>
  <si>
    <t xml:space="preserve">ARIEL SOARES TELES / FRANCISCO JOSÉ DA SILVA E SILVA / SILMAR SILVA TEIXEIRA</t>
  </si>
  <si>
    <t xml:space="preserve">BR 51 2019 001242 9</t>
  </si>
  <si>
    <t xml:space="preserve">18/06/2019</t>
  </si>
  <si>
    <t xml:space="preserve">Identificador de Situações de Usuários Móveis com Uso de Lógica Nebulosa e Dados de Contexto: Atividade Física do Usuário, Localização, Dia da Semana e Período do Dia</t>
  </si>
  <si>
    <t xml:space="preserve">BR 51 2019 001278 0</t>
  </si>
  <si>
    <t xml:space="preserve">19/06/2019</t>
  </si>
  <si>
    <t xml:space="preserve">Identificador de Situações de Usuários Móveis com Uso de Lógica Nebulosa e Dados de Contexto: Co-localização, Localização, Dia da Semana e Período do Dia</t>
  </si>
  <si>
    <t xml:space="preserve">BR 51 2019 001277 1</t>
  </si>
  <si>
    <t xml:space="preserve">Reciclarayos</t>
  </si>
  <si>
    <t xml:space="preserve">ARIEL SOARES TELES/ GUSTAVO PINTO FONSECA/ EDUARDO HENRIQUE SANTOS DO VALE/ MICHEL PEREIRA BRAGA/ RAFAEL CASTELLO BRANCO CIARLINI</t>
  </si>
  <si>
    <t xml:space="preserve">BR 51 2022 002915-4</t>
  </si>
  <si>
    <t xml:space="preserve">21/10/2022</t>
  </si>
  <si>
    <t xml:space="preserve">FisiPRATICA</t>
  </si>
  <si>
    <t xml:space="preserve">ARIEL SOARES TELES/ ANDREZA CAMYLE SILVA DE PINHO/ GIRLENE DO NASCIMENTO SANTOS/</t>
  </si>
  <si>
    <t xml:space="preserve">BR 51 2022 002914-6</t>
  </si>
  <si>
    <t xml:space="preserve">Nature Arayos</t>
  </si>
  <si>
    <t xml:space="preserve">BR 51 2022 002916-2</t>
  </si>
  <si>
    <t xml:space="preserve">iVenApp – Catalogação de itens permanentes em inventários
patrimoniais</t>
  </si>
  <si>
    <t xml:space="preserve">MAURÍCIO DOS SANTOS PEREIRA; ADRIANO FREIRE PEREIRA</t>
  </si>
  <si>
    <t xml:space="preserve">BR 51 2022 001502-1</t>
  </si>
  <si>
    <t xml:space="preserve">21/06/2022</t>
  </si>
  <si>
    <t xml:space="preserve">InfoEJA</t>
  </si>
  <si>
    <t xml:space="preserve">FRANCISCO ADELTON ALVES RIBEIRO; ÁLVARO ITAUNA SCHALCHER PEREIRA; ALINE CARLA DE
SOUSA LEITE CIPRIANO</t>
  </si>
  <si>
    <t xml:space="preserve">BR 51 2021 000870 7</t>
  </si>
  <si>
    <t xml:space="preserve">IncluIfma</t>
  </si>
  <si>
    <t xml:space="preserve">FRANCISCO ADELTON ALVES RIBEIRO; ÁLVARO ITAUNA SCHALCHER PEREIRA; FERNANDA
SOUZA DA SILVA</t>
  </si>
  <si>
    <t xml:space="preserve">BR 51 2021 000896 0</t>
  </si>
  <si>
    <t xml:space="preserve">Alpha-Libras</t>
  </si>
  <si>
    <t xml:space="preserve">FRANCISCO ADELTON ALVES RIBEIRO; ÁLVARO ITAUNA SCHALCHER PEREIRA;PEDRO LUCAS SOUZA CARNEIRO; RAINAN CARNEIRO ARAÚJO; MURILO DE OLIVEIRA RIBEIRO</t>
  </si>
  <si>
    <t xml:space="preserve">BR 51 2022 003395-0</t>
  </si>
  <si>
    <t xml:space="preserve">06/12/2022</t>
  </si>
  <si>
    <t xml:space="preserve">DYSLEXIC ABA</t>
  </si>
  <si>
    <t xml:space="preserve">ELMO DE JESUS NERY JÚNIOR / FRANCISCO ADELTON ALVES RIBEIRO / JOSE WELITON AGUIAR DUTRA / MURILO DE OLIVEIRA RIBEIRO / PEDRO LUCAS SOUZA CARNEIRO / RAINAN CARNEIRO ARAÚJO / ÁLVARO ITAUNA SCHALCHER PEREIRA</t>
  </si>
  <si>
    <t xml:space="preserve">BR 51 2022 003406-9</t>
  </si>
  <si>
    <t xml:space="preserve">GRAFIX</t>
  </si>
  <si>
    <t xml:space="preserve">FRANCISCO ADELTON ALVES RIBEIRO / NATHAN SILVA RIBEIRO GUIMARÃES / ÁLVARO ITAUNA SCHALCHER PEREIRA</t>
  </si>
  <si>
    <t xml:space="preserve">BR 51 2020 002490 4</t>
  </si>
  <si>
    <t xml:space="preserve">10/11/2020</t>
  </si>
  <si>
    <t xml:space="preserve">AUXI GAME</t>
  </si>
  <si>
    <t xml:space="preserve">BR 51 2020 002478 5</t>
  </si>
  <si>
    <t xml:space="preserve">Tangram³</t>
  </si>
  <si>
    <t xml:space="preserve">ADAN SILVA DE OLIVEIRA / ANTÔNIO DO DESTERRO MOURA PEREIRA JUNIOR / FRANCISCO ADELTON ALVES RIBEIRO / PEDRO LUCAS SOUZA CARNEIRO / RAINAN CARNEIRO ARAÚJO</t>
  </si>
  <si>
    <t xml:space="preserve">BR 51 2020 002510 2</t>
  </si>
  <si>
    <t xml:space="preserve">11/11/2020</t>
  </si>
  <si>
    <t xml:space="preserve">Play Math</t>
  </si>
  <si>
    <t xml:space="preserve">FRANCISCO ADELTON ALVES RIBEIRO / PEDRO LUCAS SOUZA CARNEIRO / RAINAN CARNEIRO ARAÚJO / ÁLVARO ITAÚNA SCHALCHER PEREIRA</t>
  </si>
  <si>
    <t xml:space="preserve">BR 51 2020 002509 9</t>
  </si>
  <si>
    <t xml:space="preserve">GuiaTec</t>
  </si>
  <si>
    <t xml:space="preserve">FRANCISCO ADELTON ALVES RIBEIRO / JOSIELTA ALVES DOS SANTOS / ÁLVARO ITAÚNA SCHALCHER PEREIRA</t>
  </si>
  <si>
    <t xml:space="preserve">BR 51 2020 002508 0</t>
  </si>
  <si>
    <t xml:space="preserve">Info Astro</t>
  </si>
  <si>
    <t xml:space="preserve">FRANCISCO ADELTON ALVES RIBEIRO / RAINAN CARNEIRO ARAÚJO / RENATO CESAR CARVALHO QUARTO</t>
  </si>
  <si>
    <t xml:space="preserve">BR 51 2019 001315 8</t>
  </si>
  <si>
    <t xml:space="preserve">26/06/2019</t>
  </si>
  <si>
    <t xml:space="preserve">FACE-ABA</t>
  </si>
  <si>
    <t xml:space="preserve">ADRIANA BEZERRA SILVA / DANILO BRUNO VIEIRA PAULA / FRANCISCO ADELTON ALVES RIBEIRO / GABRIEL BORGES CARVALHO / PEDRO LUCAS SOUZA CARNEIRO / ÁLVARO ITAUNA SCHALCHER PEREIRA</t>
  </si>
  <si>
    <t xml:space="preserve">BR 51 2019 001349 2</t>
  </si>
  <si>
    <t xml:space="preserve">27/06/2019</t>
  </si>
  <si>
    <t xml:space="preserve">GestaoEdu</t>
  </si>
  <si>
    <t xml:space="preserve">BRUNO VICENTE ALVES DE LIMA</t>
  </si>
  <si>
    <t xml:space="preserve">512026000135-8</t>
  </si>
  <si>
    <t xml:space="preserve">512026001526-0</t>
  </si>
  <si>
    <t xml:space="preserve">LUPA APP</t>
  </si>
  <si>
    <t xml:space="preserve">FLORIZA GOMIDE SALES ROSA MEIRELES; FRANCISCO ADELTON ALVES RIBEIRO; ALDAIR SILVA DE ARAÚJO; MARCELO LIMA PEREIRA</t>
  </si>
  <si>
    <t xml:space="preserve">BR 51 2025 000465-6</t>
  </si>
  <si>
    <t xml:space="preserve">06/02/2025</t>
  </si>
  <si>
    <t xml:space="preserve">FSF-HCM (Fisher Score for Hierarchical Multi-Label Classification)</t>
  </si>
  <si>
    <t xml:space="preserve">RAIMUNDO OSVALDO VIEIRA; HELYANE BRONOSKI BORGES</t>
  </si>
  <si>
    <t xml:space="preserve">BR 51 2025 000467-2</t>
  </si>
  <si>
    <t xml:space="preserve">PLATAFORMA DE GESTÃO DE DADOS E INFORMAÇÕES EM TEMPO REAL PARA INSTITUIÇÕES PÚBLICAS QUE LIDAM COM MULHERES VÍTIMAS DE VIOLÊNCIA E EM SITUAÇÃO DE VULNERABILIDADE SOCIAL</t>
  </si>
  <si>
    <t xml:space="preserve">ANA KAROLINY MACHADO MACEDO / FRANCISCO BORGES CARREIRO FILHO / LAURINDA FERNANDA SALDANHA SIQUEIRA / PATRICIA GOMEZ OTERO / SYMON DO NASCIMENTO PINTO</t>
  </si>
  <si>
    <t xml:space="preserve">BR 51 2019 001745 5</t>
  </si>
  <si>
    <t xml:space="preserve">13/08/2019</t>
  </si>
  <si>
    <t xml:space="preserve">Calculia</t>
  </si>
  <si>
    <t xml:space="preserve">FRANCISCO ADELTON ALVES RIBEIRO;GUSTAVO ENZO DOS SANTOS LIMA; FELIPE SANTOS RODRIGUES MACEDO; ALVARO ITAUNA SCHALCHER PEREIRA</t>
  </si>
  <si>
    <t xml:space="preserve">BR 51 2024 004601-1</t>
  </si>
  <si>
    <t xml:space="preserve">27/11/2024</t>
  </si>
  <si>
    <t xml:space="preserve">ENSINO TEKA</t>
  </si>
  <si>
    <t xml:space="preserve">FRANCISCO ADELTON ALVES RIBEIRO;FERNANDA ALINE COSTA FRANÇA; PEDRO LUCAS SOUZA CARNEIRO/ RAINAN CARNEIRO ARAUJO</t>
  </si>
  <si>
    <t xml:space="preserve">BR 51 2025 000324-2</t>
  </si>
  <si>
    <t xml:space="preserve">28/01/2025</t>
  </si>
  <si>
    <t xml:space="preserve">COZINHEIRO FEITICEIRO</t>
  </si>
  <si>
    <t xml:space="preserve">FRANCISCO ADELTON ALVES RIBEIRO;FERNANDA ALINE COSTA FRANÇA; FELIPE SANTOS RODRIGUES MACEDO; ALVARO ITAUNA SCHALCHER PEREIRA</t>
  </si>
  <si>
    <t xml:space="preserve">BR 51 2024 004625-9</t>
  </si>
  <si>
    <t xml:space="preserve">28/11/2024</t>
  </si>
  <si>
    <t xml:space="preserve">Delta Teans</t>
  </si>
  <si>
    <t xml:space="preserve">FRANCISCO ADELTON ALVES RIBEIRO;ALVARO ITAUNA SCHALCHER PEREIRA; LÍVIA DA CONCEIÇÃO COSTA ZAQUEU; PEDRO LUCAS SOUZA CARNEIRO; RAINAN CARNEIRO ARAUJO</t>
  </si>
  <si>
    <t xml:space="preserve">BR 51 2024 004628-3</t>
  </si>
  <si>
    <t xml:space="preserve">Algoritmo Genético para Seleção de Oficiais de Justiça por Distrito - AGSOJ/D</t>
  </si>
  <si>
    <t xml:space="preserve">FERNANDO JORGE CUTRIM DEMÉTRIO / OMAR ANDRES CARMONA CORTES / RIBAMAR LOURA DO CARMO</t>
  </si>
  <si>
    <t xml:space="preserve">BR 51 2019 001389 1</t>
  </si>
  <si>
    <t xml:space="preserve">02/07/2019</t>
  </si>
  <si>
    <t xml:space="preserve">Zane Ze'eg (Glossário Tentehar - Guajajara)</t>
  </si>
  <si>
    <t xml:space="preserve">CHARLES DOS SANTOS/ RODRIGO DA COSTA BARROS MACEDO/ HAMILTON DE ARRUDA SOUZA/ DOMINGOS BERNARDO GUAJAJARA JUNIOR/ YUMI ATANAZIO ACELINO E SILVA GUAJAJARA</t>
  </si>
  <si>
    <t xml:space="preserve">BR 51 2024 004734-4</t>
  </si>
  <si>
    <t xml:space="preserve">03/12/2024</t>
  </si>
  <si>
    <t xml:space="preserve">EPI-Detect: Detecção Automática de EPIs com Inteligência Artificial</t>
  </si>
  <si>
    <t xml:space="preserve">LUIS OTÁVIO DE OLIVEIRA SOUZA JÚNIOR; JOÃO OTÁVIO BANDEIRA DINIZ; RODRIGO DA COSTA BARROS MACEDO; CAIO VIANA MOITA CARVALHO; MARIA DE JESUS LIMA SILVA; CARLOS ADRIANO MAGALHÃES DA SILVA JÚNIOR; URIEL WERNECK DE ALCÂNTARA</t>
  </si>
  <si>
    <t xml:space="preserve">512025003713-9</t>
  </si>
  <si>
    <t xml:space="preserve">05/08/2025</t>
  </si>
  <si>
    <t xml:space="preserve">Inteligência Artificial Como Auxílio à Mobilidade de Pessoas Com Deficiência Visual</t>
  </si>
  <si>
    <t xml:space="preserve">JOSÉ FILIPE SILVA DE ANDRADE; JOÃO OTÁVIO BANDEIRA DINIZ; JOSENILDO COSTA DA SILVA; DANIEL LIMA GOMES JÚNIOR</t>
  </si>
  <si>
    <t xml:space="preserve">BR 51 2024 004618-6</t>
  </si>
  <si>
    <t xml:space="preserve">Serviço Web para Identificação de Evasores do Ensino Superior</t>
  </si>
  <si>
    <t xml:space="preserve">GEORGE SANDERS CARVALHO ARAÚJO / JOSENILDO COSTA DA SILVA</t>
  </si>
  <si>
    <t xml:space="preserve">BR 51 2024 001045-9</t>
  </si>
  <si>
    <t xml:space="preserve">02/04/2024</t>
  </si>
  <si>
    <t xml:space="preserve">ARDYN – STRUCTURAL DYNAMICS</t>
  </si>
  <si>
    <t xml:space="preserve">ADRIANO LOURO ROCHA; ANDRÉ SARKIS MÜLLER;ANDREY SALES LOPES</t>
  </si>
  <si>
    <t xml:space="preserve">512025005560-9</t>
  </si>
  <si>
    <t xml:space="preserve">03/11/2025</t>
  </si>
  <si>
    <t xml:space="preserve">AItakFAQ – Ferramenta inteligente para respostas automáticas à
perguntas frequentes</t>
  </si>
  <si>
    <t xml:space="preserve">ALEX MARTINS SANTOS / DANIEL LIMA GOMES JUNIOR / JOSENILDO COSTA DA SILVA / JOÃO PEDRO AUGUSTO COSTA / KATIA LORENA CARDOSO SENA / ÁDILLA DANÚBIA MARVÃO NASCIMENTO SERRÃO</t>
  </si>
  <si>
    <t xml:space="preserve">BR 51 2024 002773-4</t>
  </si>
  <si>
    <t xml:space="preserve">05/08/2024</t>
  </si>
  <si>
    <t xml:space="preserve">Tradutor de Libras para Português</t>
  </si>
  <si>
    <t xml:space="preserve">JOSENILDO COSTA DA SILVA / JOÃO OTÁVIO BANDEIRA DINIZ / MARCELO JHONES FERREIRA FEITOSA</t>
  </si>
  <si>
    <t xml:space="preserve">BR 51 2024 002774-2</t>
  </si>
  <si>
    <t xml:space="preserve">Vision Scan Insight</t>
  </si>
  <si>
    <t xml:space="preserve">DANIEL LIMA GOMES JUNIOR / EVELINE DE JESUS VIANA SÁ / HELDER PEREIRA BORGES / JOSENILDO COSTA DA SILVA / PAULO SERGIO CABRAL</t>
  </si>
  <si>
    <t xml:space="preserve">BR 51 2024 002775-0</t>
  </si>
  <si>
    <t xml:space="preserve">ARDYN - STRUCTURAL DYNAMICS</t>
  </si>
  <si>
    <t xml:space="preserve">BR 51 2026 000133 1</t>
  </si>
  <si>
    <t xml:space="preserve">ARP</t>
  </si>
  <si>
    <t xml:space="preserve">JOÃO CERQUEIRA MENDES NETO / LUIS FERNANDO SAMPAIO SOARES / LUIZ HENRIQUE ALMEIDA VERAS</t>
  </si>
  <si>
    <t xml:space="preserve">BR 51 2024 003290-8</t>
  </si>
  <si>
    <t xml:space="preserve">10/09/2024</t>
  </si>
  <si>
    <t xml:space="preserve">GRC</t>
  </si>
  <si>
    <t xml:space="preserve">HUMBERTO MOURA LIMA / LUIS FERNANDO SAMPAIO SOARES / RODRIGO DE AZEVÊDO NEVES</t>
  </si>
  <si>
    <t xml:space="preserve">BR 51 2024 003315-7</t>
  </si>
  <si>
    <t xml:space="preserve">IPAE-Grelhas</t>
  </si>
  <si>
    <t xml:space="preserve">ISABELA MACEDO SANTOS MORAIS / LUIS FERNANDO SAMPAIO SOARES</t>
  </si>
  <si>
    <t xml:space="preserve">BR 51 2024 003316-5</t>
  </si>
  <si>
    <t xml:space="preserve">IPAR</t>
  </si>
  <si>
    <t xml:space="preserve">ANDRÉ SARKIS MÜLLER / FERNANDA GABRIELLA BATISTA SANTOS OLIVEIRA / LUIS FERNANDO SAMPAIO SOARES</t>
  </si>
  <si>
    <t xml:space="preserve">BR 51 2024 003319-0</t>
  </si>
  <si>
    <t xml:space="preserve">PRM</t>
  </si>
  <si>
    <t xml:space="preserve">BRUNO MAGALHÃES BRASIL / JOÃO REINALDO MACHADO NETO / LUIS FERNANDO SAMPAIO SOARES</t>
  </si>
  <si>
    <t xml:space="preserve">BR 51 2024 003321-1</t>
  </si>
  <si>
    <t xml:space="preserve">512026001523-5</t>
  </si>
  <si>
    <t xml:space="preserve">AGDUAP - Aplicativo Genérico para Detecção Usando Aprendizagem Profunda em Exames de Imagens</t>
  </si>
  <si>
    <t xml:space="preserve">OMAR ANDRÉS CARMONA CORTES / BRUNO FERES DE SOUZA / ELILSON SANTOS</t>
  </si>
  <si>
    <t xml:space="preserve">BR 51 2024 004381-0</t>
  </si>
  <si>
    <t xml:space="preserve">13/11/2024</t>
  </si>
  <si>
    <t xml:space="preserve">Mapler Studio - Interpretador Portugol</t>
  </si>
  <si>
    <t xml:space="preserve">DANIEL LIMA GOMES JÚNIOR / ELIAS ROCHA LIMA / KERLYSON DOS SANTOS SILVA / ULYSSES SANTOS SOUSA</t>
  </si>
  <si>
    <t xml:space="preserve">BR 51 2022 002249 4</t>
  </si>
  <si>
    <t xml:space="preserve">18/08/2022</t>
  </si>
  <si>
    <t xml:space="preserve">Pipeline para treinamento de modelo preditivo para evasão do ensino superior</t>
  </si>
  <si>
    <t xml:space="preserve">JOSENILDO COSTA DA SILVA; ARTHUR MOTA FRANÇA</t>
  </si>
  <si>
    <t xml:space="preserve">BR 51 2024 004617-8</t>
  </si>
  <si>
    <t xml:space="preserve">FSE 2023</t>
  </si>
  <si>
    <t xml:space="preserve">RODRIGO DE AZEVÊDO NEVES</t>
  </si>
  <si>
    <t xml:space="preserve">BR 51 2025 000333-1</t>
  </si>
  <si>
    <t xml:space="preserve">29/01/2025</t>
  </si>
  <si>
    <t xml:space="preserve">APLICAÇÃO DE APOIO CLÍNICO PARA DIAGNÓSTICO DE ENFERMAGEM</t>
  </si>
  <si>
    <t xml:space="preserve">DANIEL LIMA GOMES JÚNIOR / JOSENILDO COSTA DA SILVA / JOÃO OTÁVIO BANDEIRA DINIZ / RENATO DOUGLAS E SILVA SOUZA</t>
  </si>
  <si>
    <t xml:space="preserve">BR 51 2025 0003334-0</t>
  </si>
  <si>
    <t xml:space="preserve">OutGym</t>
  </si>
  <si>
    <t xml:space="preserve">NSTITUTO FEDERAL DO MARANHÃO / UNIVERSIDADE FEDERAL DO PIAUÍ</t>
  </si>
  <si>
    <t xml:space="preserve">ANA RAYONARA DE SOUSA ALBUQUERQUE / ELICIANA SELVINA FERREIRA MENDES VIEIRA / LIVIO CESAR CUNHA NUNES</t>
  </si>
  <si>
    <t xml:space="preserve">BR 51 2023 000698 0</t>
  </si>
  <si>
    <t xml:space="preserve">15/03/2023</t>
  </si>
  <si>
    <t xml:space="preserve">AAREM - Avaliador Automa´tico de Redacões para o Ensino Médio</t>
  </si>
  <si>
    <t xml:space="preserve">JEZIEL COSTA MARINHO / RAFAEL TORRES ANCHIÊTA / RAIMUNDO SANTOS MOURA</t>
  </si>
  <si>
    <t xml:space="preserve">BR 51 2024 000640 0</t>
  </si>
  <si>
    <t xml:space="preserve">04/03/2024</t>
  </si>
  <si>
    <t xml:space="preserve">Software para Geração Automática de Algoritmos Evolutivos e de Enxame Paralelos</t>
  </si>
  <si>
    <t xml:space="preserve">OMAR ANDRES CARMONA CORTES; JACKSON AMARAL DA SILVA; JOÃO PEDRO AUGUSTO COSTA</t>
  </si>
  <si>
    <t xml:space="preserve">BR 51 2021 000871 5</t>
  </si>
  <si>
    <t xml:space="preserve">YouCan</t>
  </si>
  <si>
    <t xml:space="preserve">FRANCISCO ADELTON ALVES RIBEIRO / MURILO DE OLIVEIRA RIBEIRO / PEDRO LUCAS SOUZA CARNEIRO / RAINAN CARNEIRO ARAÚJO / ÁLVARO ITAUNA SCHALCHER PEREIRA</t>
  </si>
  <si>
    <t xml:space="preserve">BR 51 2022 003403-4</t>
  </si>
  <si>
    <t xml:space="preserve">Rota Amaro</t>
  </si>
  <si>
    <t xml:space="preserve">ANTONIO FERNANDO VASCONCELOS CAVALCANTE BRAGA / BRUNO DIEGO BARROS ARAÚJO / DALIANA VIEIRA MARQUES / DANIEL LIMA GOMES JÚNIOR / JOANA AMÉLIA SOARE / SANNA PAULINA TAHLO</t>
  </si>
  <si>
    <t xml:space="preserve">BR 51 2020 000033 9</t>
  </si>
  <si>
    <t xml:space="preserve">09/01/2020</t>
  </si>
  <si>
    <t xml:space="preserve">QuickChart</t>
  </si>
  <si>
    <t xml:space="preserve">PEDRO HENRIQUE ARAUJO CARDOSO; PAULO RAFAEL COSTA SILVA</t>
  </si>
  <si>
    <t xml:space="preserve">512025002460-6</t>
  </si>
  <si>
    <t xml:space="preserve">09/06/2025</t>
  </si>
  <si>
    <t xml:space="preserve">SimInvestJS</t>
  </si>
  <si>
    <t xml:space="preserve">OMAR ANDRES CARMONA CORTES / PATRICK VIEGAS RODRIGUES</t>
  </si>
  <si>
    <t xml:space="preserve">BR 51 2024 000086-0</t>
  </si>
  <si>
    <t xml:space="preserve">10/01/2024</t>
  </si>
  <si>
    <t xml:space="preserve">Manuário Informáti</t>
  </si>
  <si>
    <t xml:space="preserve">EVALDINOLIA GILBERTONI MOREIRA</t>
  </si>
  <si>
    <t xml:space="preserve">BR 51 2024 000084-4</t>
  </si>
  <si>
    <t xml:space="preserve">DSC@IFMA – Software de análise para pesquisa qualitativa com múltiplos sujeitos - Análise do Discurso do Sujeito Coletivo/DSC</t>
  </si>
  <si>
    <t xml:space="preserve">ANDRÉA LIMA BARROS; BRUNO VICENTE ALVES DE LIMA; CARLOS WILLIAM ROCHA ALMEIDA; FERNANDO LEFEVRE; AÉCIO DA SILVA MARTINS</t>
  </si>
  <si>
    <t xml:space="preserve">512025002514-9</t>
  </si>
  <si>
    <t xml:space="preserve">11/06/2025</t>
  </si>
  <si>
    <t xml:space="preserve">Bone Vision 3d - Visualização Anatômica 3D Avançada</t>
  </si>
  <si>
    <t xml:space="preserve">NARA SUELLEN LEONCIO CHAVES; SAMIA CLARA RODRIGUES DE OLIVEIRA; VITOR XAVIER CORREIA; CHRISTIAN RILZA SILVA DE MELO; EDIW MATEUS COELHO FELIX DA SILVA; HERUS ORSANO MACHADO</t>
  </si>
  <si>
    <t xml:space="preserve">512025002541-6</t>
  </si>
  <si>
    <t xml:space="preserve">12/06/2025</t>
  </si>
  <si>
    <t xml:space="preserve">Ferramenta para visualização de dados com detecção automática de objetos em ambientes de realidade aumentada através de marcadores naturais georreferenciados</t>
  </si>
  <si>
    <t xml:space="preserve">ALEX MARTINS SANTOS / ANSELMO CARDOSO DE PAIVA / ARISTÓFANES CORREA SILVA / DANIEL LIMA GOMES JÚNIOR / GERALDO BRAZ JÚNIOR / JOÃO DALLYSON SOUSA DE ALMEIDA / PAULO ROBERTO JANSEN DOS REIS</t>
  </si>
  <si>
    <t xml:space="preserve">BR 51 2018 001193 4</t>
  </si>
  <si>
    <t xml:space="preserve">13/07/2018</t>
  </si>
  <si>
    <t xml:space="preserve">Ferramenta de autoria de ambientes de Realidade Virtual e visualização com panoramas esféricos</t>
  </si>
  <si>
    <t xml:space="preserve">BR 51 2018 001191 8</t>
  </si>
  <si>
    <t xml:space="preserve">AELPP</t>
  </si>
  <si>
    <t xml:space="preserve">ANDREY SALES LOPES; RODRIGO DE AZEVÊDO NEVES;LUIS FERNANDO SAMPAIO SOARES</t>
  </si>
  <si>
    <t xml:space="preserve">512025001106-7</t>
  </si>
  <si>
    <t xml:space="preserve">AELPE</t>
  </si>
  <si>
    <t xml:space="preserve">ANDREY SALES LOPES; RODRIGO DE AZEVÊDO NEVES;ANDRÉ SARKIS MÜLLER</t>
  </si>
  <si>
    <t xml:space="preserve">512025001107-5</t>
  </si>
  <si>
    <t xml:space="preserve">VPE-PAd 2023</t>
  </si>
  <si>
    <t xml:space="preserve">RODRIGO DE AZEVÊDO NEVES; PÉRICLES RAFAEL PAVÃO CARVALHO; LUIS FERNANDO SAMPAIO SOARES</t>
  </si>
  <si>
    <t xml:space="preserve">512025001108-</t>
  </si>
  <si>
    <t xml:space="preserve">VPE-PNA 2023</t>
  </si>
  <si>
    <t xml:space="preserve">RODRIGO DE AZEVÊDO NEVES; RODRIGO DE AZEVÊDO NEVES; ANDREY SALES LOPES</t>
  </si>
  <si>
    <t xml:space="preserve">512025001109-1</t>
  </si>
  <si>
    <t xml:space="preserve">512025001112-1</t>
  </si>
  <si>
    <t xml:space="preserve">IFMA Viagens: Aplicação multiplataforma para criação de roteiros
únicos, criados pela inteligência artificial para uma viagem
inesquecível.</t>
  </si>
  <si>
    <t xml:space="preserve">ABILIO SOARES COELHO</t>
  </si>
  <si>
    <t xml:space="preserve">BR 51 2024 000949-3</t>
  </si>
  <si>
    <t xml:space="preserve">22/03/2024</t>
  </si>
  <si>
    <t xml:space="preserve">Ger.NU_PXE</t>
  </si>
  <si>
    <t xml:space="preserve">HÉLDER PEREIRA BORGES</t>
  </si>
  <si>
    <t xml:space="preserve">BR 51 2024 000940-0</t>
  </si>
  <si>
    <t xml:space="preserve">AlignSequence</t>
  </si>
  <si>
    <t xml:space="preserve">BR 51 2024 000941-8</t>
  </si>
  <si>
    <t xml:space="preserve">IMBTalk - Instante Messenger Bluetooth</t>
  </si>
  <si>
    <t xml:space="preserve">BR 51 2024 000942-6</t>
  </si>
  <si>
    <t xml:space="preserve">Ger.NU</t>
  </si>
  <si>
    <t xml:space="preserve">BR 51 2024 000947-7</t>
  </si>
  <si>
    <t xml:space="preserve">23/03/2024</t>
  </si>
  <si>
    <t xml:space="preserve">E-regula- Gestão de Acompanhamento do tratamento de Doenças Crônicas Não Transmissíveis (DCNT)</t>
  </si>
  <si>
    <t xml:space="preserve">AIRTON ARAUJO SOUSA / JOÃO PEDRO GAMA FEITOSA / LEANDRO PEREIRA DA SILVA / LUÍS FERNANDO MAIA SANTOS SILVA / MOISÉS PEREIRA DE CARVALHO</t>
  </si>
  <si>
    <t xml:space="preserve">BR 51 2020 000947 6</t>
  </si>
  <si>
    <t xml:space="preserve">25/05/2020</t>
  </si>
  <si>
    <t xml:space="preserve">BRMangue2.0</t>
  </si>
  <si>
    <t xml:space="preserve">DENILSON DA SILVA BEZERRA / HÉLDER PEREIRA BORGES</t>
  </si>
  <si>
    <t xml:space="preserve">BR 51 2024 000962 0</t>
  </si>
  <si>
    <t xml:space="preserve">26/03/2024</t>
  </si>
  <si>
    <t xml:space="preserve">SICAA - Sistema Interno de Controle de Auxílio Alimentação</t>
  </si>
  <si>
    <t xml:space="preserve">BR 51 2023 004173-4</t>
  </si>
  <si>
    <t xml:space="preserve">26/12/2023</t>
  </si>
  <si>
    <t xml:space="preserve">CartBox: Explorando o Controle para Além dos Jogos - Um Carrinho Controlado por Xbox e ESP32</t>
  </si>
  <si>
    <t xml:space="preserve">ABILIO SOARES COELHO / ANTÔNIO CARLOS PEREIRA ALVES / ARTHUR BRITO OLIVEIRA FREITAS / FILIPI MACIEL DE MELO / VITOR GABRIEL RIBEIRO COSTA</t>
  </si>
  <si>
    <t xml:space="preserve">BR 51 2023 004175-0</t>
  </si>
  <si>
    <t xml:space="preserve">DTSCluster</t>
  </si>
  <si>
    <t xml:space="preserve">GUSTAVO HENRIQUE BATISTA SANTOS OLIVEIRA / JOSENILDO COSTA DA SILVA</t>
  </si>
  <si>
    <t xml:space="preserve">BR 51 2023 004177-7</t>
  </si>
  <si>
    <t xml:space="preserve">Implant File</t>
  </si>
  <si>
    <t xml:space="preserve">LUÍS FERNANDO MAIA SANTOS SILVA</t>
  </si>
  <si>
    <t xml:space="preserve">BR 51 2023 003646 3</t>
  </si>
  <si>
    <t xml:space="preserve">27/11/2023</t>
  </si>
  <si>
    <t xml:space="preserve">CACTUS (Contract Anomaly Checking and Tracking Utility System)</t>
  </si>
  <si>
    <t xml:space="preserve">Parceiro</t>
  </si>
  <si>
    <t xml:space="preserve">ARTUR BERNARDO SILVA REIS / DANIEL LIMA GOMES JÚNIOR / DAYSE YANNE CALDAS SIQUEIRA DE SOUSA / ÁDILLA DANÚBIA MARVÃO NASCIMENTO SERRÃO</t>
  </si>
  <si>
    <t xml:space="preserve">BR 51 2024 002478-6</t>
  </si>
  <si>
    <t xml:space="preserve">16/07/2024</t>
  </si>
  <si>
    <t xml:space="preserve">Biblioinclusivo Quiz App</t>
  </si>
  <si>
    <t xml:space="preserve">JANAINA BIANQUE DO NASCIMENTO ABREU; MÁRIO DE ARAÚJO CARVALHO</t>
  </si>
  <si>
    <t xml:space="preserve">BR 51 2022 003398-4</t>
  </si>
  <si>
    <t xml:space="preserve">ProjConecta IFMA</t>
  </si>
  <si>
    <t xml:space="preserve">MARLUCE PEREIRA DAMASCENO LIMA; PEDRO LUCAS NOLETO DA SILVA; BRENDA ALVES MARCELINO;JOSIVAN DA SILVA ARAÚJO</t>
  </si>
  <si>
    <t xml:space="preserve">512025001627-1</t>
  </si>
  <si>
    <t xml:space="preserve">23/04/2025</t>
  </si>
  <si>
    <t xml:space="preserve">MobTimon</t>
  </si>
  <si>
    <t xml:space="preserve">GEORGE VENTURA ALVES NERI / LUCAS DE MOURA GALVÃO / ODALÉIA ALVES DA COSTA</t>
  </si>
  <si>
    <t xml:space="preserve">BR 51 2023 002339 6</t>
  </si>
  <si>
    <t xml:space="preserve">09/08/2023</t>
  </si>
  <si>
    <t xml:space="preserve">TimonApp: Diagnóstico Situacional dos Comerciantes de Timon- MA</t>
  </si>
  <si>
    <t xml:space="preserve">BR 51 2022 001501-3</t>
  </si>
  <si>
    <t xml:space="preserve">Automação de Empilhadeira Desenvolvimento e Implementação com
ESP32 Controlada por Controle Xbox</t>
  </si>
  <si>
    <t xml:space="preserve">ABÍLIO SOARES COELHO;HERUS ORSANO MACHADO; FILIPI MACIEL DE MELO; SOPHIA DOS SANTOS PÔRTO; LAURA EMILLY SANTOS NOVAES; WANDERSON ALMEIDA OLIVEIRA; DENNIS GABRIEL SILVA ALVES; PEDRO GABRIEL DO NASCIMENTO MATOS</t>
  </si>
  <si>
    <t xml:space="preserve">BR 51 2024 004599-6</t>
  </si>
  <si>
    <t xml:space="preserve">SMART FLOW: Automação semafórica de meia pista na Ponte Metálica em Timon (MA)</t>
  </si>
  <si>
    <t xml:space="preserve">ABILIO SOARES COELHO / HERUS ORSANO MACHADO / LEONARDO HENRIQUE SILVA SIDRIM / PEDRO HENRIQUE OLIVEIRA DE MOURA</t>
  </si>
  <si>
    <t xml:space="preserve">BR 51 2022 003629 0</t>
  </si>
  <si>
    <t xml:space="preserve">29/12/2022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</si>
</sst>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4"/>
      <color rgb="FF006341"/>
      <name val="Arial"/>
      <family val="0"/>
      <charset val="1"/>
    </font>
    <font>
      <b val="true"/>
      <sz val="24"/>
      <color rgb="FF4A235A"/>
      <name val="Arial"/>
      <family val="0"/>
      <charset val="1"/>
    </font>
    <font>
      <b val="true"/>
      <sz val="24"/>
      <color rgb="FF0070C0"/>
      <name val="Arial"/>
      <family val="0"/>
      <charset val="1"/>
    </font>
    <font>
      <b val="true"/>
      <sz val="24"/>
      <color rgb="FF1B5E2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70C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0634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9"/>
      <color rgb="FF2E4057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006341"/>
        <bgColor rgb="FF1B5E20"/>
      </patternFill>
    </fill>
    <fill>
      <patternFill patternType="solid">
        <fgColor rgb="FFEAF2EA"/>
        <bgColor rgb="FFF2F4F7"/>
      </patternFill>
    </fill>
    <fill>
      <patternFill patternType="solid">
        <fgColor rgb="FF4A235A"/>
        <bgColor rgb="FF444444"/>
      </patternFill>
    </fill>
    <fill>
      <patternFill patternType="solid">
        <fgColor rgb="FF0070C0"/>
        <bgColor rgb="FF1565C0"/>
      </patternFill>
    </fill>
    <fill>
      <patternFill patternType="solid">
        <fgColor rgb="FF1B5E20"/>
        <bgColor rgb="FF006341"/>
      </patternFill>
    </fill>
    <fill>
      <patternFill patternType="solid">
        <fgColor rgb="FFF9FAFB"/>
        <bgColor rgb="FFF9F9F9"/>
      </patternFill>
    </fill>
    <fill>
      <patternFill patternType="solid">
        <fgColor rgb="FF2E4057"/>
        <bgColor rgb="FF444444"/>
      </patternFill>
    </fill>
    <fill>
      <patternFill patternType="solid">
        <fgColor rgb="FFC8A84B"/>
        <bgColor rgb="FFAED581"/>
      </patternFill>
    </fill>
    <fill>
      <patternFill patternType="solid">
        <fgColor rgb="FF8B0000"/>
        <bgColor rgb="FF800000"/>
      </patternFill>
    </fill>
    <fill>
      <patternFill patternType="solid">
        <fgColor rgb="FFF2F4F7"/>
        <bgColor rgb="FFF9F9F9"/>
      </patternFill>
    </fill>
    <fill>
      <patternFill patternType="solid">
        <fgColor rgb="FFFCE4EC"/>
        <bgColor rgb="FFF3E5F5"/>
      </patternFill>
    </fill>
    <fill>
      <patternFill patternType="solid">
        <fgColor rgb="FFFFCDD2"/>
        <bgColor rgb="FFFFCCBC"/>
      </patternFill>
    </fill>
    <fill>
      <patternFill patternType="solid">
        <fgColor rgb="FFFFFFFF"/>
        <bgColor rgb="FFF9FAFB"/>
      </patternFill>
    </fill>
    <fill>
      <patternFill patternType="solid">
        <fgColor rgb="FFF3E5F5"/>
        <bgColor rgb="FFEDE7F6"/>
      </patternFill>
    </fill>
    <fill>
      <patternFill patternType="solid">
        <fgColor rgb="FFA5D6A7"/>
        <bgColor rgb="FFAED581"/>
      </patternFill>
    </fill>
    <fill>
      <patternFill patternType="solid">
        <fgColor rgb="FFFFF3E0"/>
        <bgColor rgb="FFF9F9F9"/>
      </patternFill>
    </fill>
    <fill>
      <patternFill patternType="solid">
        <fgColor rgb="FFDCEDC8"/>
        <bgColor rgb="FFC8E6C9"/>
      </patternFill>
    </fill>
    <fill>
      <patternFill patternType="solid">
        <fgColor rgb="FFD1C4E9"/>
        <bgColor rgb="FFD0D5DD"/>
      </patternFill>
    </fill>
    <fill>
      <patternFill patternType="solid">
        <fgColor rgb="FFE3F2FD"/>
        <bgColor rgb="FFEAF2EA"/>
      </patternFill>
    </fill>
    <fill>
      <patternFill patternType="solid">
        <fgColor rgb="FFFFCCBC"/>
        <bgColor rgb="FFFFCDD2"/>
      </patternFill>
    </fill>
    <fill>
      <patternFill patternType="solid">
        <fgColor rgb="FFB0BEC5"/>
        <bgColor rgb="FFA5D6A7"/>
      </patternFill>
    </fill>
    <fill>
      <patternFill patternType="solid">
        <fgColor rgb="FFEDE7F6"/>
        <bgColor rgb="FFF3E5F5"/>
      </patternFill>
    </fill>
    <fill>
      <patternFill patternType="solid">
        <fgColor rgb="FFC8E6C9"/>
        <bgColor rgb="FFDCEDC8"/>
      </patternFill>
    </fill>
    <fill>
      <patternFill patternType="solid">
        <fgColor rgb="FFFFE0B2"/>
        <bgColor rgb="FFFFCCB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F9F9F9"/>
      <rgbColor rgb="FF0000FF"/>
      <rgbColor rgb="FFC8E6C9"/>
      <rgbColor rgb="FFFF00FF"/>
      <rgbColor rgb="FFEDE7F6"/>
      <rgbColor rgb="FF8B0000"/>
      <rgbColor rgb="FF1B5E20"/>
      <rgbColor rgb="FF000080"/>
      <rgbColor rgb="FF555555"/>
      <rgbColor rgb="FF800080"/>
      <rgbColor rgb="FF006341"/>
      <rgbColor rgb="FFB0BEC5"/>
      <rgbColor rgb="FF878787"/>
      <rgbColor rgb="FFD9D9D9"/>
      <rgbColor rgb="FF9C27B0"/>
      <rgbColor rgb="FFFFF3E0"/>
      <rgbColor rgb="FFE3F2FD"/>
      <rgbColor rgb="FF660066"/>
      <rgbColor rgb="FFF3E5F5"/>
      <rgbColor rgb="FF0070C0"/>
      <rgbColor rgb="FFD1C4E9"/>
      <rgbColor rgb="FF000080"/>
      <rgbColor rgb="FFFF00FF"/>
      <rgbColor rgb="FFF2F4F7"/>
      <rgbColor rgb="FFF9FAFB"/>
      <rgbColor rgb="FF800080"/>
      <rgbColor rgb="FF800000"/>
      <rgbColor rgb="FF4F81BD"/>
      <rgbColor rgb="FF0000FF"/>
      <rgbColor rgb="FF66BB6A"/>
      <rgbColor rgb="FFEAF2EA"/>
      <rgbColor rgb="FFDCEDC8"/>
      <rgbColor rgb="FFFFE0B2"/>
      <rgbColor rgb="FFA5D6A7"/>
      <rgbColor rgb="FFFFCDD2"/>
      <rgbColor rgb="FFD0D5DD"/>
      <rgbColor rgb="FFFFCCBC"/>
      <rgbColor rgb="FF1565C0"/>
      <rgbColor rgb="FF42A5F5"/>
      <rgbColor rgb="FFAED581"/>
      <rgbColor rgb="FFFCE4EC"/>
      <rgbColor rgb="FFC8A84B"/>
      <rgbColor rgb="FFFF6F00"/>
      <rgbColor rgb="FF546E7A"/>
      <rgbColor rgb="FF78909C"/>
      <rgbColor rgb="FF003366"/>
      <rgbColor rgb="FF2E7D32"/>
      <rgbColor rgb="FF003300"/>
      <rgbColor rgb="FF444444"/>
      <rgbColor rgb="FFBF360C"/>
      <rgbColor rgb="FFC62828"/>
      <rgbColor rgb="FF4A235A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por Tipo de PI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Indicadores!B1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6341"/>
            </a:solidFill>
            <a:ln w="12600">
              <a:solidFill>
                <a:srgbClr val="00634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6341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Indicadores!$A$2:$A$6</c:f>
              <c:strCache>
                <c:ptCount val="5"/>
                <c:pt idx="0">
                  <c:v>Patente de Invenção</c:v>
                </c:pt>
                <c:pt idx="1">
                  <c:v>Modelo de Utilidade</c:v>
                </c:pt>
                <c:pt idx="2">
                  <c:v>Software</c:v>
                </c:pt>
                <c:pt idx="3">
                  <c:v>Marca</c:v>
                </c:pt>
                <c:pt idx="4">
                  <c:v>Desenho Industrial</c:v>
                </c:pt>
              </c:strCache>
            </c:strRef>
          </c:cat>
          <c:val>
            <c:numRef>
              <c:f>Indicadores!$B$2:$B$6</c:f>
              <c:numCache>
                <c:formatCode>General</c:formatCode>
                <c:ptCount val="5"/>
                <c:pt idx="0">
                  <c:v>48</c:v>
                </c:pt>
                <c:pt idx="1">
                  <c:v>16</c:v>
                </c:pt>
                <c:pt idx="2">
                  <c:v>87</c:v>
                </c:pt>
                <c:pt idx="3">
                  <c:v>34</c:v>
                </c:pt>
                <c:pt idx="4">
                  <c:v>6</c:v>
                </c:pt>
              </c:numCache>
            </c:numRef>
          </c:val>
        </c:ser>
        <c:gapWidth val="150"/>
        <c:overlap val="0"/>
        <c:axId val="82266579"/>
        <c:axId val="15105622"/>
      </c:barChart>
      <c:catAx>
        <c:axId val="822665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105622"/>
        <c:crosses val="autoZero"/>
        <c:auto val="1"/>
        <c:lblAlgn val="ctr"/>
        <c:lblOffset val="100"/>
        <c:noMultiLvlLbl val="0"/>
      </c:catAx>
      <c:valAx>
        <c:axId val="15105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2665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Status dos Processos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Indicadores!E1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D3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66BB6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AED58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1565C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A5F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9C27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FF6F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C6282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BF360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546E7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0"/>
            <c:spPr>
              <a:solidFill>
                <a:srgbClr val="78909C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0"/>
            <c:showPercent val="1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</c:dLbls>
          <c:cat>
            <c:strRef>
              <c:f>Indicadores!$D$2:$D$12</c:f>
              <c:strCache>
                <c:ptCount val="11"/>
                <c:pt idx="0">
                  <c:v>Certificado Emitido</c:v>
                </c:pt>
                <c:pt idx="1">
                  <c:v>Concedida</c:v>
                </c:pt>
                <c:pt idx="2">
                  <c:v>Deferida</c:v>
                </c:pt>
                <c:pt idx="3">
                  <c:v>Em andamento</c:v>
                </c:pt>
                <c:pt idx="4">
                  <c:v>Em exame</c:v>
                </c:pt>
                <c:pt idx="5">
                  <c:v>Depositado</c:v>
                </c:pt>
                <c:pt idx="6">
                  <c:v>Aguardando Certificado</c:v>
                </c:pt>
                <c:pt idx="7">
                  <c:v>Indeferida</c:v>
                </c:pt>
                <c:pt idx="8">
                  <c:v>Arquivada</c:v>
                </c:pt>
                <c:pt idx="9">
                  <c:v>Anulado</c:v>
                </c:pt>
                <c:pt idx="10">
                  <c:v>Em sigilo</c:v>
                </c:pt>
              </c:strCache>
            </c:strRef>
          </c:cat>
          <c:val>
            <c:numRef>
              <c:f>Indicadores!$E$2:$E$12</c:f>
              <c:numCache>
                <c:formatCode>General</c:formatCode>
                <c:ptCount val="11"/>
                <c:pt idx="0">
                  <c:v>79</c:v>
                </c:pt>
                <c:pt idx="1">
                  <c:v>9</c:v>
                </c:pt>
                <c:pt idx="2">
                  <c:v>1</c:v>
                </c:pt>
                <c:pt idx="3">
                  <c:v>39</c:v>
                </c:pt>
                <c:pt idx="4">
                  <c:v>0</c:v>
                </c:pt>
                <c:pt idx="5">
                  <c:v>35</c:v>
                </c:pt>
                <c:pt idx="6">
                  <c:v>1</c:v>
                </c:pt>
                <c:pt idx="7">
                  <c:v>9</c:v>
                </c:pt>
                <c:pt idx="8">
                  <c:v>11</c:v>
                </c:pt>
                <c:pt idx="9">
                  <c:v>5</c:v>
                </c:pt>
                <c:pt idx="10">
                  <c:v>2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Linha do Tempo de Depósitos (por ano)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Indicadores!H1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8A84B"/>
            </a:solidFill>
            <a:ln w="28080">
              <a:solidFill>
                <a:srgbClr val="C8A8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Indicadores!$G$2:$G$19</c:f>
              <c:strCach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strCache>
            </c:strRef>
          </c:cat>
          <c:val>
            <c:numRef>
              <c:f>Indicadores!$H$2:$H$19</c:f>
              <c:numCache>
                <c:formatCode>General</c:formatCode>
                <c:ptCount val="1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7</c:v>
                </c:pt>
                <c:pt idx="7">
                  <c:v>0</c:v>
                </c:pt>
                <c:pt idx="8">
                  <c:v>1</c:v>
                </c:pt>
                <c:pt idx="9">
                  <c:v>6</c:v>
                </c:pt>
                <c:pt idx="10">
                  <c:v>9</c:v>
                </c:pt>
                <c:pt idx="11">
                  <c:v>18</c:v>
                </c:pt>
                <c:pt idx="12">
                  <c:v>14</c:v>
                </c:pt>
                <c:pt idx="13">
                  <c:v>14</c:v>
                </c:pt>
                <c:pt idx="14">
                  <c:v>13</c:v>
                </c:pt>
                <c:pt idx="15">
                  <c:v>42</c:v>
                </c:pt>
                <c:pt idx="16">
                  <c:v>46</c:v>
                </c:pt>
                <c:pt idx="17">
                  <c:v>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596012"/>
        <c:axId val="44080644"/>
      </c:lineChart>
      <c:catAx>
        <c:axId val="965960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080644"/>
        <c:crosses val="autoZero"/>
        <c:auto val="1"/>
        <c:lblAlgn val="ctr"/>
        <c:lblOffset val="100"/>
        <c:noMultiLvlLbl val="0"/>
      </c:catAx>
      <c:valAx>
        <c:axId val="440806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Depósitos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5960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Ranking por Campus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Indicadores!K1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E4057"/>
            </a:solidFill>
            <a:ln w="12600">
              <a:solidFill>
                <a:srgbClr val="2E405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2E4057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Indicadores!$J$2:$J$18</c:f>
              <c:strCache>
                <c:ptCount val="17"/>
                <c:pt idx="0">
                  <c:v>Monte Castelo</c:v>
                </c:pt>
                <c:pt idx="1">
                  <c:v>Imperatriz</c:v>
                </c:pt>
                <c:pt idx="2">
                  <c:v>Reitoria</c:v>
                </c:pt>
                <c:pt idx="3">
                  <c:v>Caxias</c:v>
                </c:pt>
                <c:pt idx="4">
                  <c:v>Araioses</c:v>
                </c:pt>
                <c:pt idx="5">
                  <c:v>Açailândia</c:v>
                </c:pt>
                <c:pt idx="6">
                  <c:v>Timon</c:v>
                </c:pt>
                <c:pt idx="7">
                  <c:v>Grajaú</c:v>
                </c:pt>
                <c:pt idx="8">
                  <c:v>Maracanã</c:v>
                </c:pt>
                <c:pt idx="9">
                  <c:v>Codó</c:v>
                </c:pt>
                <c:pt idx="10">
                  <c:v>São José de Ribamar</c:v>
                </c:pt>
                <c:pt idx="11">
                  <c:v>São João dos Patos</c:v>
                </c:pt>
                <c:pt idx="12">
                  <c:v>Centro Histórico</c:v>
                </c:pt>
                <c:pt idx="13">
                  <c:v>Alcântara</c:v>
                </c:pt>
                <c:pt idx="14">
                  <c:v>Barra do Corda</c:v>
                </c:pt>
                <c:pt idx="15">
                  <c:v>Cotitular</c:v>
                </c:pt>
                <c:pt idx="16">
                  <c:v>Não informado</c:v>
                </c:pt>
              </c:strCache>
            </c:strRef>
          </c:cat>
          <c:val>
            <c:numRef>
              <c:f>Indicadores!$K$2:$K$18</c:f>
              <c:numCache>
                <c:formatCode>General</c:formatCode>
                <c:ptCount val="17"/>
                <c:pt idx="0">
                  <c:v>49</c:v>
                </c:pt>
                <c:pt idx="1">
                  <c:v>25</c:v>
                </c:pt>
                <c:pt idx="2">
                  <c:v>19</c:v>
                </c:pt>
                <c:pt idx="3">
                  <c:v>11</c:v>
                </c:pt>
                <c:pt idx="4">
                  <c:v>11</c:v>
                </c:pt>
                <c:pt idx="5">
                  <c:v>13</c:v>
                </c:pt>
                <c:pt idx="6">
                  <c:v>5</c:v>
                </c:pt>
                <c:pt idx="7">
                  <c:v>3</c:v>
                </c:pt>
                <c:pt idx="8">
                  <c:v>2</c:v>
                </c:pt>
                <c:pt idx="9">
                  <c:v>8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32</c:v>
                </c:pt>
              </c:numCache>
            </c:numRef>
          </c:val>
        </c:ser>
        <c:gapWidth val="150"/>
        <c:overlap val="0"/>
        <c:axId val="33817338"/>
        <c:axId val="11727505"/>
      </c:barChart>
      <c:catAx>
        <c:axId val="3381733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Quantidade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727505"/>
        <c:crosses val="autoZero"/>
        <c:auto val="1"/>
        <c:lblAlgn val="ctr"/>
        <c:lblOffset val="100"/>
        <c:noMultiLvlLbl val="0"/>
      </c:catAx>
      <c:valAx>
        <c:axId val="11727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8173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7</xdr:col>
      <xdr:colOff>350280</xdr:colOff>
      <xdr:row>28</xdr:row>
      <xdr:rowOff>149760</xdr:rowOff>
    </xdr:to>
    <xdr:graphicFrame>
      <xdr:nvGraphicFramePr>
        <xdr:cNvPr id="1" name="Chart 1"/>
        <xdr:cNvGraphicFramePr/>
      </xdr:nvGraphicFramePr>
      <xdr:xfrm>
        <a:off x="0" y="230508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8</xdr:row>
      <xdr:rowOff>0</xdr:rowOff>
    </xdr:from>
    <xdr:to>
      <xdr:col>15</xdr:col>
      <xdr:colOff>349920</xdr:colOff>
      <xdr:row>28</xdr:row>
      <xdr:rowOff>149760</xdr:rowOff>
    </xdr:to>
    <xdr:graphicFrame>
      <xdr:nvGraphicFramePr>
        <xdr:cNvPr id="2" name="Chart 2"/>
        <xdr:cNvGraphicFramePr/>
      </xdr:nvGraphicFramePr>
      <xdr:xfrm>
        <a:off x="5359320" y="230508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7</xdr:col>
      <xdr:colOff>350280</xdr:colOff>
      <xdr:row>50</xdr:row>
      <xdr:rowOff>149760</xdr:rowOff>
    </xdr:to>
    <xdr:graphicFrame>
      <xdr:nvGraphicFramePr>
        <xdr:cNvPr id="3" name="Chart 3"/>
        <xdr:cNvGraphicFramePr/>
      </xdr:nvGraphicFramePr>
      <xdr:xfrm>
        <a:off x="0" y="649620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30</xdr:row>
      <xdr:rowOff>0</xdr:rowOff>
    </xdr:from>
    <xdr:to>
      <xdr:col>15</xdr:col>
      <xdr:colOff>349920</xdr:colOff>
      <xdr:row>54</xdr:row>
      <xdr:rowOff>107640</xdr:rowOff>
    </xdr:to>
    <xdr:graphicFrame>
      <xdr:nvGraphicFramePr>
        <xdr:cNvPr id="4" name="Chart 4"/>
        <xdr:cNvGraphicFramePr/>
      </xdr:nvGraphicFramePr>
      <xdr:xfrm>
        <a:off x="5359320" y="6496200"/>
        <a:ext cx="50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8" min="1" style="0" width="9.51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5" t="s">
        <v>4</v>
      </c>
      <c r="J3" s="5"/>
      <c r="K3" s="5"/>
      <c r="L3" s="5"/>
      <c r="M3" s="6" t="s">
        <v>5</v>
      </c>
      <c r="N3" s="6"/>
      <c r="O3" s="6"/>
      <c r="P3" s="6"/>
    </row>
    <row r="4" customFormat="false" ht="21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21.75" hidden="false" customHeight="true" outlineLevel="0" collapsed="false">
      <c r="A5" s="8" t="n">
        <f aca="false">COUNTA(Dados!B3:B5000)</f>
        <v>191</v>
      </c>
      <c r="B5" s="8"/>
      <c r="C5" s="8"/>
      <c r="D5" s="8"/>
      <c r="E5" s="9" t="n">
        <f aca="false">COUNTIF(Dados!B:B,"Patente de Invenção")+COUNTIF(Dados!B:B,"Modelo de Utilidade")</f>
        <v>64</v>
      </c>
      <c r="F5" s="9"/>
      <c r="G5" s="9"/>
      <c r="H5" s="9"/>
      <c r="I5" s="10" t="n">
        <f aca="false">COUNTIF(Dados!B:B,"Software")</f>
        <v>87</v>
      </c>
      <c r="J5" s="10"/>
      <c r="K5" s="10"/>
      <c r="L5" s="10"/>
      <c r="M5" s="11" t="n">
        <f aca="false">COUNTIF(Dados!H:H,"Concedida")+COUNTIF(Dados!H:H,"Certificado Emitido")</f>
        <v>88</v>
      </c>
      <c r="N5" s="11"/>
      <c r="O5" s="11"/>
      <c r="P5" s="11"/>
    </row>
    <row r="6" customFormat="false" ht="21.7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customFormat="false" ht="21.7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</sheetData>
  <mergeCells count="22">
    <mergeCell ref="A1:R1"/>
    <mergeCell ref="A2:R2"/>
    <mergeCell ref="A3:D3"/>
    <mergeCell ref="E3:H3"/>
    <mergeCell ref="I3:L3"/>
    <mergeCell ref="M3:P3"/>
    <mergeCell ref="A4:D4"/>
    <mergeCell ref="E4:H4"/>
    <mergeCell ref="I4:L4"/>
    <mergeCell ref="M4:P4"/>
    <mergeCell ref="A5:D5"/>
    <mergeCell ref="E5:H5"/>
    <mergeCell ref="I5:L5"/>
    <mergeCell ref="M5:P5"/>
    <mergeCell ref="A6:D6"/>
    <mergeCell ref="E6:H6"/>
    <mergeCell ref="I6:L6"/>
    <mergeCell ref="M6:P6"/>
    <mergeCell ref="A7:D7"/>
    <mergeCell ref="E7:H7"/>
    <mergeCell ref="I7:L7"/>
    <mergeCell ref="M7:P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10" style="0" width="28"/>
    <col collapsed="false" customWidth="true" hidden="false" outlineLevel="0" max="11" min="11" style="0" width="10"/>
  </cols>
  <sheetData>
    <row r="1" customFormat="false" ht="24" hidden="false" customHeight="true" outlineLevel="0" collapsed="false">
      <c r="A1" s="12" t="s">
        <v>6</v>
      </c>
      <c r="B1" s="12"/>
      <c r="D1" s="13" t="s">
        <v>7</v>
      </c>
      <c r="E1" s="13"/>
      <c r="G1" s="14" t="s">
        <v>8</v>
      </c>
      <c r="H1" s="14"/>
      <c r="J1" s="15" t="s">
        <v>9</v>
      </c>
      <c r="K1" s="15"/>
    </row>
    <row r="2" customFormat="false" ht="19.5" hidden="false" customHeight="true" outlineLevel="0" collapsed="false">
      <c r="A2" s="16" t="s">
        <v>10</v>
      </c>
      <c r="B2" s="17" t="n">
        <f aca="false">COUNTIF(Dados!B:B,"Patente de Invenção")</f>
        <v>48</v>
      </c>
      <c r="D2" s="16" t="s">
        <v>11</v>
      </c>
      <c r="E2" s="17" t="n">
        <f aca="false">COUNTIF(Dados!H:H,"Certificado Emitido")</f>
        <v>79</v>
      </c>
      <c r="G2" s="16" t="s">
        <v>12</v>
      </c>
      <c r="H2" s="17" t="n">
        <f aca="false">SUMPRODUCT((ISNUMBER(SEARCH("2009",Dados!G:G)))*1)</f>
        <v>2</v>
      </c>
      <c r="J2" s="16" t="s">
        <v>13</v>
      </c>
      <c r="K2" s="17" t="n">
        <f aca="false">COUNTIF(Dados!D:D,"Monte Castelo")</f>
        <v>49</v>
      </c>
    </row>
    <row r="3" customFormat="false" ht="19.5" hidden="false" customHeight="true" outlineLevel="0" collapsed="false">
      <c r="A3" s="16" t="s">
        <v>14</v>
      </c>
      <c r="B3" s="17" t="n">
        <f aca="false">COUNTIF(Dados!B:B,"Modelo de Utilidade")</f>
        <v>16</v>
      </c>
      <c r="D3" s="16" t="s">
        <v>15</v>
      </c>
      <c r="E3" s="17" t="n">
        <f aca="false">COUNTIF(Dados!H:H,"Concedida")</f>
        <v>9</v>
      </c>
      <c r="G3" s="16" t="s">
        <v>16</v>
      </c>
      <c r="H3" s="17" t="n">
        <f aca="false">SUMPRODUCT((ISNUMBER(SEARCH("2010",Dados!G:G)))*1)</f>
        <v>0</v>
      </c>
      <c r="J3" s="16" t="s">
        <v>17</v>
      </c>
      <c r="K3" s="17" t="n">
        <f aca="false">COUNTIF(Dados!D:D,"Imperatriz")</f>
        <v>25</v>
      </c>
    </row>
    <row r="4" customFormat="false" ht="19.5" hidden="false" customHeight="true" outlineLevel="0" collapsed="false">
      <c r="A4" s="16" t="s">
        <v>18</v>
      </c>
      <c r="B4" s="17" t="n">
        <f aca="false">COUNTIF(Dados!B:B,"Software")</f>
        <v>87</v>
      </c>
      <c r="D4" s="16" t="s">
        <v>19</v>
      </c>
      <c r="E4" s="17" t="n">
        <f aca="false">COUNTIF(Dados!H:H,"Deferida")</f>
        <v>1</v>
      </c>
      <c r="G4" s="16" t="s">
        <v>20</v>
      </c>
      <c r="H4" s="17" t="n">
        <f aca="false">SUMPRODUCT((ISNUMBER(SEARCH("2011",Dados!G:G)))*1)</f>
        <v>0</v>
      </c>
      <c r="J4" s="16" t="s">
        <v>21</v>
      </c>
      <c r="K4" s="17" t="n">
        <f aca="false">COUNTIF(Dados!D:D,"Reitoria")</f>
        <v>19</v>
      </c>
    </row>
    <row r="5" customFormat="false" ht="19.5" hidden="false" customHeight="true" outlineLevel="0" collapsed="false">
      <c r="A5" s="16" t="s">
        <v>22</v>
      </c>
      <c r="B5" s="17" t="n">
        <f aca="false">COUNTIF(Dados!B:B,"Marca")</f>
        <v>34</v>
      </c>
      <c r="D5" s="16" t="s">
        <v>23</v>
      </c>
      <c r="E5" s="17" t="n">
        <f aca="false">COUNTIF(Dados!H:H,"Em andamento")</f>
        <v>39</v>
      </c>
      <c r="G5" s="16" t="s">
        <v>24</v>
      </c>
      <c r="H5" s="17" t="n">
        <f aca="false">SUMPRODUCT((ISNUMBER(SEARCH("2012",Dados!G:G)))*1)</f>
        <v>2</v>
      </c>
      <c r="J5" s="16" t="s">
        <v>25</v>
      </c>
      <c r="K5" s="17" t="n">
        <f aca="false">COUNTIF(Dados!D:D,"Caxias")</f>
        <v>11</v>
      </c>
    </row>
    <row r="6" customFormat="false" ht="19.5" hidden="false" customHeight="true" outlineLevel="0" collapsed="false">
      <c r="A6" s="16" t="s">
        <v>26</v>
      </c>
      <c r="B6" s="17" t="n">
        <f aca="false">COUNTIF(Dados!B:B,"Desenho Industrial")</f>
        <v>6</v>
      </c>
      <c r="D6" s="16" t="s">
        <v>27</v>
      </c>
      <c r="E6" s="17" t="n">
        <f aca="false">COUNTIF(Dados!H:H,"Em exame")</f>
        <v>0</v>
      </c>
      <c r="G6" s="16" t="s">
        <v>28</v>
      </c>
      <c r="H6" s="17" t="n">
        <f aca="false">SUMPRODUCT((ISNUMBER(SEARCH("2013",Dados!G:G)))*1)</f>
        <v>0</v>
      </c>
      <c r="J6" s="16" t="s">
        <v>29</v>
      </c>
      <c r="K6" s="17" t="n">
        <f aca="false">COUNTIF(Dados!D:D,"Araioses")</f>
        <v>11</v>
      </c>
    </row>
    <row r="7" customFormat="false" ht="19.5" hidden="false" customHeight="true" outlineLevel="0" collapsed="false">
      <c r="A7" s="18" t="s">
        <v>30</v>
      </c>
      <c r="B7" s="19" t="n">
        <f aca="false">SUM(B2:B6)</f>
        <v>191</v>
      </c>
      <c r="D7" s="16" t="s">
        <v>31</v>
      </c>
      <c r="E7" s="17" t="n">
        <f aca="false">COUNTIF(Dados!H:H,"Depositado")</f>
        <v>35</v>
      </c>
      <c r="G7" s="16" t="s">
        <v>32</v>
      </c>
      <c r="H7" s="17" t="n">
        <f aca="false">SUMPRODUCT((ISNUMBER(SEARCH("2014",Dados!G:G)))*1)</f>
        <v>1</v>
      </c>
      <c r="J7" s="16" t="s">
        <v>33</v>
      </c>
      <c r="K7" s="17" t="n">
        <f aca="false">COUNTIF(Dados!D:D,"Açailândia")</f>
        <v>13</v>
      </c>
    </row>
    <row r="8" customFormat="false" ht="19.5" hidden="false" customHeight="true" outlineLevel="0" collapsed="false">
      <c r="D8" s="16" t="s">
        <v>34</v>
      </c>
      <c r="E8" s="17" t="n">
        <f aca="false">COUNTIF(Dados!H:H,"Aguardando Certificado")</f>
        <v>1</v>
      </c>
      <c r="G8" s="16" t="s">
        <v>35</v>
      </c>
      <c r="H8" s="17" t="n">
        <f aca="false">SUMPRODUCT((ISNUMBER(SEARCH("2015",Dados!G:G)))*1)</f>
        <v>7</v>
      </c>
      <c r="J8" s="16" t="s">
        <v>36</v>
      </c>
      <c r="K8" s="17" t="n">
        <f aca="false">COUNTIF(Dados!D:D,"Timon")</f>
        <v>5</v>
      </c>
    </row>
    <row r="9" customFormat="false" ht="19.5" hidden="false" customHeight="true" outlineLevel="0" collapsed="false">
      <c r="D9" s="16" t="s">
        <v>37</v>
      </c>
      <c r="E9" s="17" t="n">
        <f aca="false">COUNTIF(Dados!H:H,"Indeferida")</f>
        <v>9</v>
      </c>
      <c r="G9" s="16" t="s">
        <v>38</v>
      </c>
      <c r="H9" s="17" t="n">
        <f aca="false">SUMPRODUCT((ISNUMBER(SEARCH("2016",Dados!G:G)))*1)</f>
        <v>0</v>
      </c>
      <c r="J9" s="16" t="s">
        <v>39</v>
      </c>
      <c r="K9" s="17" t="n">
        <f aca="false">COUNTIF(Dados!D:D,"Grajaú")</f>
        <v>3</v>
      </c>
    </row>
    <row r="10" customFormat="false" ht="19.5" hidden="false" customHeight="true" outlineLevel="0" collapsed="false">
      <c r="D10" s="16" t="s">
        <v>40</v>
      </c>
      <c r="E10" s="17" t="n">
        <f aca="false">COUNTIF(Dados!H:H,"Arquivada")</f>
        <v>11</v>
      </c>
      <c r="G10" s="16" t="s">
        <v>41</v>
      </c>
      <c r="H10" s="17" t="n">
        <f aca="false">SUMPRODUCT((ISNUMBER(SEARCH("2017",Dados!G:G)))*1)</f>
        <v>1</v>
      </c>
      <c r="J10" s="16" t="s">
        <v>42</v>
      </c>
      <c r="K10" s="17" t="n">
        <f aca="false">COUNTIF(Dados!D:D,"Maracanã")</f>
        <v>2</v>
      </c>
    </row>
    <row r="11" customFormat="false" ht="19.5" hidden="false" customHeight="true" outlineLevel="0" collapsed="false">
      <c r="D11" s="16" t="s">
        <v>43</v>
      </c>
      <c r="E11" s="17" t="n">
        <f aca="false">COUNTIF(Dados!H:H,"Anulado")</f>
        <v>5</v>
      </c>
      <c r="G11" s="16" t="s">
        <v>44</v>
      </c>
      <c r="H11" s="17" t="n">
        <f aca="false">SUMPRODUCT((ISNUMBER(SEARCH("2018",Dados!G:G)))*1)</f>
        <v>6</v>
      </c>
      <c r="J11" s="16" t="s">
        <v>45</v>
      </c>
      <c r="K11" s="17" t="n">
        <f aca="false">COUNTIF(Dados!D:D,"Codó")</f>
        <v>8</v>
      </c>
    </row>
    <row r="12" customFormat="false" ht="19.5" hidden="false" customHeight="true" outlineLevel="0" collapsed="false">
      <c r="D12" s="16" t="s">
        <v>46</v>
      </c>
      <c r="E12" s="17" t="n">
        <f aca="false">COUNTIF(Dados!H:H,"Em sigilo")</f>
        <v>2</v>
      </c>
      <c r="G12" s="16" t="s">
        <v>47</v>
      </c>
      <c r="H12" s="17" t="n">
        <f aca="false">SUMPRODUCT((ISNUMBER(SEARCH("2019",Dados!G:G)))*1)</f>
        <v>9</v>
      </c>
      <c r="J12" s="16" t="s">
        <v>48</v>
      </c>
      <c r="K12" s="17" t="n">
        <f aca="false">COUNTIF(Dados!D:D,"São José de Ribamar")</f>
        <v>2</v>
      </c>
    </row>
    <row r="13" customFormat="false" ht="19.5" hidden="false" customHeight="true" outlineLevel="0" collapsed="false">
      <c r="G13" s="16" t="s">
        <v>49</v>
      </c>
      <c r="H13" s="17" t="n">
        <f aca="false">SUMPRODUCT((ISNUMBER(SEARCH("2020",Dados!G:G)))*1)</f>
        <v>18</v>
      </c>
      <c r="J13" s="16" t="s">
        <v>50</v>
      </c>
      <c r="K13" s="17" t="n">
        <f aca="false">COUNTIF(Dados!D:D,"São João dos Patos")</f>
        <v>1</v>
      </c>
    </row>
    <row r="14" customFormat="false" ht="19.5" hidden="false" customHeight="true" outlineLevel="0" collapsed="false">
      <c r="G14" s="16" t="s">
        <v>51</v>
      </c>
      <c r="H14" s="17" t="n">
        <f aca="false">SUMPRODUCT((ISNUMBER(SEARCH("2021",Dados!G:G)))*1)</f>
        <v>14</v>
      </c>
      <c r="J14" s="16" t="s">
        <v>52</v>
      </c>
      <c r="K14" s="17" t="n">
        <f aca="false">COUNTIF(Dados!D:D,"Centro Histórico")</f>
        <v>2</v>
      </c>
    </row>
    <row r="15" customFormat="false" ht="19.5" hidden="false" customHeight="true" outlineLevel="0" collapsed="false">
      <c r="G15" s="16" t="s">
        <v>53</v>
      </c>
      <c r="H15" s="17" t="n">
        <f aca="false">SUMPRODUCT((ISNUMBER(SEARCH("2022",Dados!G:G)))*1)</f>
        <v>14</v>
      </c>
      <c r="J15" s="16" t="s">
        <v>54</v>
      </c>
      <c r="K15" s="17" t="n">
        <f aca="false">COUNTIF(Dados!D:D,"Alcântara")</f>
        <v>0</v>
      </c>
    </row>
    <row r="16" customFormat="false" ht="19.5" hidden="false" customHeight="true" outlineLevel="0" collapsed="false">
      <c r="G16" s="16" t="s">
        <v>55</v>
      </c>
      <c r="H16" s="17" t="n">
        <f aca="false">SUMPRODUCT((ISNUMBER(SEARCH("2023",Dados!G:G)))*1)</f>
        <v>13</v>
      </c>
      <c r="J16" s="16" t="s">
        <v>56</v>
      </c>
      <c r="K16" s="17" t="n">
        <f aca="false">COUNTIF(Dados!D:D,"Barra do Corda")</f>
        <v>0</v>
      </c>
    </row>
    <row r="17" customFormat="false" ht="19.5" hidden="false" customHeight="true" outlineLevel="0" collapsed="false">
      <c r="G17" s="16" t="s">
        <v>57</v>
      </c>
      <c r="H17" s="17" t="n">
        <f aca="false">SUMPRODUCT((ISNUMBER(SEARCH("2024",Dados!G:G)))*1)</f>
        <v>42</v>
      </c>
      <c r="J17" s="16" t="s">
        <v>58</v>
      </c>
      <c r="K17" s="17" t="n">
        <f aca="false">COUNTIF(Dados!D:D,"Cotitular")</f>
        <v>1</v>
      </c>
    </row>
    <row r="18" customFormat="false" ht="19.5" hidden="false" customHeight="true" outlineLevel="0" collapsed="false">
      <c r="G18" s="16" t="s">
        <v>59</v>
      </c>
      <c r="H18" s="17" t="n">
        <f aca="false">SUMPRODUCT((ISNUMBER(SEARCH("2025",Dados!G:G)))*1)</f>
        <v>46</v>
      </c>
      <c r="J18" s="16" t="s">
        <v>60</v>
      </c>
      <c r="K18" s="17" t="n">
        <f aca="false">COUNTIF(Dados!D:D,"Não informado")</f>
        <v>32</v>
      </c>
    </row>
    <row r="19" customFormat="false" ht="19.5" hidden="false" customHeight="true" outlineLevel="0" collapsed="false">
      <c r="G19" s="16" t="s">
        <v>61</v>
      </c>
      <c r="H19" s="17" t="n">
        <f aca="false">SUMPRODUCT((ISNUMBER(SEARCH("2026",Dados!G:G)))*1)</f>
        <v>11</v>
      </c>
    </row>
  </sheetData>
  <mergeCells count="4">
    <mergeCell ref="A1:B1"/>
    <mergeCell ref="D1:E1"/>
    <mergeCell ref="G1:H1"/>
    <mergeCell ref="J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45"/>
  </cols>
  <sheetData>
    <row r="1" customFormat="false" ht="31.5" hidden="false" customHeight="true" outlineLevel="0" collapsed="false">
      <c r="A1" s="20" t="s">
        <v>62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27.75" hidden="false" customHeight="true" outlineLevel="0" collapsed="false">
      <c r="A2" s="21" t="s">
        <v>63</v>
      </c>
      <c r="B2" s="21" t="s">
        <v>64</v>
      </c>
      <c r="C2" s="21" t="s">
        <v>65</v>
      </c>
      <c r="D2" s="21" t="s">
        <v>66</v>
      </c>
      <c r="E2" s="21" t="s">
        <v>67</v>
      </c>
      <c r="F2" s="21" t="s">
        <v>68</v>
      </c>
      <c r="G2" s="21" t="s">
        <v>69</v>
      </c>
      <c r="H2" s="21" t="s">
        <v>70</v>
      </c>
      <c r="I2" s="21" t="s">
        <v>71</v>
      </c>
      <c r="J2" s="21" t="s">
        <v>72</v>
      </c>
    </row>
    <row r="3" customFormat="false" ht="18" hidden="false" customHeight="true" outlineLevel="0" collapsed="false">
      <c r="A3" s="22" t="n">
        <v>1</v>
      </c>
      <c r="B3" s="23" t="s">
        <v>26</v>
      </c>
      <c r="C3" s="24" t="s">
        <v>73</v>
      </c>
      <c r="D3" s="25" t="s">
        <v>33</v>
      </c>
      <c r="E3" s="24" t="s">
        <v>74</v>
      </c>
      <c r="F3" s="26" t="s">
        <v>75</v>
      </c>
      <c r="G3" s="26" t="s">
        <v>76</v>
      </c>
      <c r="H3" s="27" t="s">
        <v>37</v>
      </c>
      <c r="I3" s="26"/>
      <c r="J3" s="24"/>
    </row>
    <row r="4" customFormat="false" ht="18" hidden="false" customHeight="true" outlineLevel="0" collapsed="false">
      <c r="A4" s="28" t="n">
        <v>2</v>
      </c>
      <c r="B4" s="23" t="s">
        <v>26</v>
      </c>
      <c r="C4" s="29" t="s">
        <v>77</v>
      </c>
      <c r="D4" s="30" t="s">
        <v>33</v>
      </c>
      <c r="E4" s="29" t="s">
        <v>74</v>
      </c>
      <c r="F4" s="31" t="s">
        <v>78</v>
      </c>
      <c r="G4" s="31" t="s">
        <v>79</v>
      </c>
      <c r="H4" s="27" t="s">
        <v>37</v>
      </c>
      <c r="I4" s="31"/>
      <c r="J4" s="29"/>
    </row>
    <row r="5" customFormat="false" ht="18" hidden="false" customHeight="true" outlineLevel="0" collapsed="false">
      <c r="A5" s="22" t="n">
        <v>3</v>
      </c>
      <c r="B5" s="23" t="s">
        <v>26</v>
      </c>
      <c r="C5" s="24" t="s">
        <v>80</v>
      </c>
      <c r="D5" s="25" t="s">
        <v>33</v>
      </c>
      <c r="E5" s="24" t="s">
        <v>81</v>
      </c>
      <c r="F5" s="26" t="s">
        <v>82</v>
      </c>
      <c r="G5" s="26" t="s">
        <v>83</v>
      </c>
      <c r="H5" s="32" t="s">
        <v>31</v>
      </c>
      <c r="I5" s="26"/>
      <c r="J5" s="24"/>
    </row>
    <row r="6" customFormat="false" ht="18" hidden="false" customHeight="true" outlineLevel="0" collapsed="false">
      <c r="A6" s="28" t="n">
        <v>4</v>
      </c>
      <c r="B6" s="23" t="s">
        <v>26</v>
      </c>
      <c r="C6" s="29" t="s">
        <v>84</v>
      </c>
      <c r="D6" s="30" t="s">
        <v>33</v>
      </c>
      <c r="E6" s="29" t="s">
        <v>74</v>
      </c>
      <c r="F6" s="31" t="s">
        <v>85</v>
      </c>
      <c r="G6" s="31" t="s">
        <v>86</v>
      </c>
      <c r="H6" s="32" t="s">
        <v>31</v>
      </c>
      <c r="I6" s="31"/>
      <c r="J6" s="29"/>
    </row>
    <row r="7" customFormat="false" ht="18" hidden="false" customHeight="true" outlineLevel="0" collapsed="false">
      <c r="A7" s="22" t="n">
        <v>5</v>
      </c>
      <c r="B7" s="23" t="s">
        <v>26</v>
      </c>
      <c r="C7" s="24" t="s">
        <v>87</v>
      </c>
      <c r="D7" s="25" t="s">
        <v>33</v>
      </c>
      <c r="E7" s="24" t="s">
        <v>74</v>
      </c>
      <c r="F7" s="26" t="s">
        <v>88</v>
      </c>
      <c r="G7" s="26" t="s">
        <v>86</v>
      </c>
      <c r="H7" s="32" t="s">
        <v>31</v>
      </c>
      <c r="I7" s="26"/>
      <c r="J7" s="24"/>
    </row>
    <row r="8" customFormat="false" ht="18" hidden="false" customHeight="true" outlineLevel="0" collapsed="false">
      <c r="A8" s="28" t="n">
        <v>6</v>
      </c>
      <c r="B8" s="23" t="s">
        <v>26</v>
      </c>
      <c r="C8" s="29" t="s">
        <v>89</v>
      </c>
      <c r="D8" s="30" t="s">
        <v>13</v>
      </c>
      <c r="E8" s="29" t="s">
        <v>90</v>
      </c>
      <c r="F8" s="31" t="s">
        <v>91</v>
      </c>
      <c r="G8" s="31" t="s">
        <v>92</v>
      </c>
      <c r="H8" s="33" t="s">
        <v>15</v>
      </c>
      <c r="I8" s="31"/>
      <c r="J8" s="29"/>
    </row>
    <row r="9" customFormat="false" ht="18" hidden="false" customHeight="true" outlineLevel="0" collapsed="false">
      <c r="A9" s="22" t="n">
        <v>7</v>
      </c>
      <c r="B9" s="34" t="s">
        <v>22</v>
      </c>
      <c r="C9" s="24" t="s">
        <v>93</v>
      </c>
      <c r="D9" s="25" t="s">
        <v>33</v>
      </c>
      <c r="E9" s="24" t="s">
        <v>94</v>
      </c>
      <c r="F9" s="26" t="s">
        <v>95</v>
      </c>
      <c r="G9" s="26" t="s">
        <v>96</v>
      </c>
      <c r="H9" s="32" t="s">
        <v>31</v>
      </c>
      <c r="I9" s="26"/>
      <c r="J9" s="24"/>
    </row>
    <row r="10" customFormat="false" ht="18" hidden="false" customHeight="true" outlineLevel="0" collapsed="false">
      <c r="A10" s="28" t="n">
        <v>8</v>
      </c>
      <c r="B10" s="34" t="s">
        <v>22</v>
      </c>
      <c r="C10" s="29" t="s">
        <v>97</v>
      </c>
      <c r="D10" s="30" t="s">
        <v>33</v>
      </c>
      <c r="E10" s="29" t="s">
        <v>94</v>
      </c>
      <c r="F10" s="31" t="s">
        <v>98</v>
      </c>
      <c r="G10" s="31" t="s">
        <v>96</v>
      </c>
      <c r="H10" s="32" t="s">
        <v>31</v>
      </c>
      <c r="I10" s="31"/>
      <c r="J10" s="29"/>
    </row>
    <row r="11" customFormat="false" ht="18" hidden="false" customHeight="true" outlineLevel="0" collapsed="false">
      <c r="A11" s="22" t="n">
        <v>9</v>
      </c>
      <c r="B11" s="34" t="s">
        <v>22</v>
      </c>
      <c r="C11" s="24" t="s">
        <v>99</v>
      </c>
      <c r="D11" s="25" t="s">
        <v>33</v>
      </c>
      <c r="E11" s="24" t="s">
        <v>94</v>
      </c>
      <c r="F11" s="26" t="s">
        <v>100</v>
      </c>
      <c r="G11" s="26" t="s">
        <v>96</v>
      </c>
      <c r="H11" s="32" t="s">
        <v>31</v>
      </c>
      <c r="I11" s="26"/>
      <c r="J11" s="24"/>
    </row>
    <row r="12" customFormat="false" ht="18" hidden="false" customHeight="true" outlineLevel="0" collapsed="false">
      <c r="A12" s="28" t="n">
        <v>10</v>
      </c>
      <c r="B12" s="34" t="s">
        <v>22</v>
      </c>
      <c r="C12" s="29" t="s">
        <v>101</v>
      </c>
      <c r="D12" s="30" t="s">
        <v>33</v>
      </c>
      <c r="E12" s="29" t="s">
        <v>94</v>
      </c>
      <c r="F12" s="31" t="s">
        <v>102</v>
      </c>
      <c r="G12" s="31" t="s">
        <v>96</v>
      </c>
      <c r="H12" s="32" t="s">
        <v>31</v>
      </c>
      <c r="I12" s="31"/>
      <c r="J12" s="29"/>
    </row>
    <row r="13" customFormat="false" ht="18" hidden="false" customHeight="true" outlineLevel="0" collapsed="false">
      <c r="A13" s="22" t="n">
        <v>11</v>
      </c>
      <c r="B13" s="34" t="s">
        <v>22</v>
      </c>
      <c r="C13" s="24" t="s">
        <v>103</v>
      </c>
      <c r="D13" s="25" t="s">
        <v>33</v>
      </c>
      <c r="E13" s="24" t="s">
        <v>74</v>
      </c>
      <c r="F13" s="26" t="s">
        <v>104</v>
      </c>
      <c r="G13" s="26" t="s">
        <v>105</v>
      </c>
      <c r="H13" s="35" t="s">
        <v>19</v>
      </c>
      <c r="I13" s="26"/>
      <c r="J13" s="24" t="s">
        <v>106</v>
      </c>
    </row>
    <row r="14" customFormat="false" ht="18" hidden="false" customHeight="true" outlineLevel="0" collapsed="false">
      <c r="A14" s="28" t="n">
        <v>12</v>
      </c>
      <c r="B14" s="34" t="s">
        <v>22</v>
      </c>
      <c r="C14" s="29" t="s">
        <v>107</v>
      </c>
      <c r="D14" s="30" t="s">
        <v>33</v>
      </c>
      <c r="E14" s="29" t="s">
        <v>108</v>
      </c>
      <c r="F14" s="31" t="s">
        <v>109</v>
      </c>
      <c r="G14" s="31" t="s">
        <v>110</v>
      </c>
      <c r="H14" s="33" t="s">
        <v>15</v>
      </c>
      <c r="I14" s="31"/>
      <c r="J14" s="29" t="s">
        <v>111</v>
      </c>
    </row>
    <row r="15" customFormat="false" ht="18" hidden="false" customHeight="true" outlineLevel="0" collapsed="false">
      <c r="A15" s="22" t="n">
        <v>13</v>
      </c>
      <c r="B15" s="34" t="s">
        <v>22</v>
      </c>
      <c r="C15" s="24" t="s">
        <v>112</v>
      </c>
      <c r="D15" s="25" t="s">
        <v>33</v>
      </c>
      <c r="E15" s="24" t="s">
        <v>108</v>
      </c>
      <c r="F15" s="26" t="s">
        <v>113</v>
      </c>
      <c r="G15" s="26" t="s">
        <v>110</v>
      </c>
      <c r="H15" s="32" t="s">
        <v>31</v>
      </c>
      <c r="I15" s="26"/>
      <c r="J15" s="24" t="s">
        <v>114</v>
      </c>
    </row>
    <row r="16" customFormat="false" ht="18" hidden="false" customHeight="true" outlineLevel="0" collapsed="false">
      <c r="A16" s="28" t="n">
        <v>14</v>
      </c>
      <c r="B16" s="34" t="s">
        <v>22</v>
      </c>
      <c r="C16" s="29" t="s">
        <v>115</v>
      </c>
      <c r="D16" s="30" t="s">
        <v>116</v>
      </c>
      <c r="E16" s="29" t="s">
        <v>117</v>
      </c>
      <c r="F16" s="31" t="s">
        <v>118</v>
      </c>
      <c r="G16" s="31" t="s">
        <v>119</v>
      </c>
      <c r="H16" s="33" t="s">
        <v>15</v>
      </c>
      <c r="I16" s="31"/>
      <c r="J16" s="29" t="s">
        <v>114</v>
      </c>
    </row>
    <row r="17" customFormat="false" ht="18" hidden="false" customHeight="true" outlineLevel="0" collapsed="false">
      <c r="A17" s="22" t="n">
        <v>15</v>
      </c>
      <c r="B17" s="34" t="s">
        <v>22</v>
      </c>
      <c r="C17" s="24" t="s">
        <v>120</v>
      </c>
      <c r="D17" s="25" t="s">
        <v>13</v>
      </c>
      <c r="E17" s="24" t="s">
        <v>121</v>
      </c>
      <c r="F17" s="26" t="s">
        <v>122</v>
      </c>
      <c r="G17" s="26" t="s">
        <v>123</v>
      </c>
      <c r="H17" s="32" t="s">
        <v>31</v>
      </c>
      <c r="I17" s="26"/>
      <c r="J17" s="24" t="s">
        <v>124</v>
      </c>
    </row>
    <row r="18" customFormat="false" ht="18" hidden="false" customHeight="true" outlineLevel="0" collapsed="false">
      <c r="A18" s="28" t="n">
        <v>16</v>
      </c>
      <c r="B18" s="34" t="s">
        <v>22</v>
      </c>
      <c r="C18" s="29" t="s">
        <v>125</v>
      </c>
      <c r="D18" s="30" t="s">
        <v>13</v>
      </c>
      <c r="E18" s="29" t="s">
        <v>121</v>
      </c>
      <c r="F18" s="31" t="s">
        <v>126</v>
      </c>
      <c r="G18" s="31" t="s">
        <v>123</v>
      </c>
      <c r="H18" s="32" t="s">
        <v>31</v>
      </c>
      <c r="I18" s="31"/>
      <c r="J18" s="29" t="s">
        <v>124</v>
      </c>
    </row>
    <row r="19" customFormat="false" ht="18" hidden="false" customHeight="true" outlineLevel="0" collapsed="false">
      <c r="A19" s="22" t="n">
        <v>17</v>
      </c>
      <c r="B19" s="34" t="s">
        <v>22</v>
      </c>
      <c r="C19" s="24" t="s">
        <v>127</v>
      </c>
      <c r="D19" s="25" t="s">
        <v>13</v>
      </c>
      <c r="E19" s="24" t="s">
        <v>121</v>
      </c>
      <c r="F19" s="26" t="s">
        <v>128</v>
      </c>
      <c r="G19" s="26" t="s">
        <v>123</v>
      </c>
      <c r="H19" s="32" t="s">
        <v>31</v>
      </c>
      <c r="I19" s="26"/>
      <c r="J19" s="24" t="s">
        <v>124</v>
      </c>
    </row>
    <row r="20" customFormat="false" ht="18" hidden="false" customHeight="true" outlineLevel="0" collapsed="false">
      <c r="A20" s="28" t="n">
        <v>18</v>
      </c>
      <c r="B20" s="34" t="s">
        <v>22</v>
      </c>
      <c r="C20" s="29" t="s">
        <v>129</v>
      </c>
      <c r="D20" s="30" t="s">
        <v>13</v>
      </c>
      <c r="E20" s="29" t="s">
        <v>130</v>
      </c>
      <c r="F20" s="31" t="s">
        <v>131</v>
      </c>
      <c r="G20" s="31" t="s">
        <v>132</v>
      </c>
      <c r="H20" s="32" t="s">
        <v>31</v>
      </c>
      <c r="I20" s="31"/>
      <c r="J20" s="29"/>
    </row>
    <row r="21" customFormat="false" ht="18" hidden="false" customHeight="true" outlineLevel="0" collapsed="false">
      <c r="A21" s="22" t="n">
        <v>19</v>
      </c>
      <c r="B21" s="34" t="s">
        <v>22</v>
      </c>
      <c r="C21" s="24" t="s">
        <v>133</v>
      </c>
      <c r="D21" s="25" t="s">
        <v>13</v>
      </c>
      <c r="E21" s="24" t="s">
        <v>134</v>
      </c>
      <c r="F21" s="26" t="s">
        <v>135</v>
      </c>
      <c r="G21" s="26" t="s">
        <v>132</v>
      </c>
      <c r="H21" s="32" t="s">
        <v>31</v>
      </c>
      <c r="I21" s="26"/>
      <c r="J21" s="24"/>
    </row>
    <row r="22" customFormat="false" ht="18" hidden="false" customHeight="true" outlineLevel="0" collapsed="false">
      <c r="A22" s="28" t="n">
        <v>20</v>
      </c>
      <c r="B22" s="34" t="s">
        <v>22</v>
      </c>
      <c r="C22" s="29" t="s">
        <v>136</v>
      </c>
      <c r="D22" s="30" t="s">
        <v>13</v>
      </c>
      <c r="E22" s="29" t="s">
        <v>137</v>
      </c>
      <c r="F22" s="31" t="s">
        <v>138</v>
      </c>
      <c r="G22" s="31" t="s">
        <v>139</v>
      </c>
      <c r="H22" s="32" t="s">
        <v>31</v>
      </c>
      <c r="I22" s="31"/>
      <c r="J22" s="29"/>
    </row>
    <row r="23" customFormat="false" ht="18" hidden="false" customHeight="true" outlineLevel="0" collapsed="false">
      <c r="A23" s="22" t="n">
        <v>21</v>
      </c>
      <c r="B23" s="34" t="s">
        <v>22</v>
      </c>
      <c r="C23" s="24" t="s">
        <v>140</v>
      </c>
      <c r="D23" s="25" t="s">
        <v>60</v>
      </c>
      <c r="E23" s="24" t="s">
        <v>141</v>
      </c>
      <c r="F23" s="26" t="s">
        <v>142</v>
      </c>
      <c r="G23" s="26" t="s">
        <v>143</v>
      </c>
      <c r="H23" s="32" t="s">
        <v>31</v>
      </c>
      <c r="I23" s="26"/>
      <c r="J23" s="24" t="s">
        <v>114</v>
      </c>
    </row>
    <row r="24" customFormat="false" ht="18" hidden="false" customHeight="true" outlineLevel="0" collapsed="false">
      <c r="A24" s="28" t="n">
        <v>22</v>
      </c>
      <c r="B24" s="34" t="s">
        <v>22</v>
      </c>
      <c r="C24" s="29" t="s">
        <v>144</v>
      </c>
      <c r="D24" s="30" t="s">
        <v>21</v>
      </c>
      <c r="E24" s="29" t="s">
        <v>108</v>
      </c>
      <c r="F24" s="31" t="s">
        <v>145</v>
      </c>
      <c r="G24" s="31" t="s">
        <v>146</v>
      </c>
      <c r="H24" s="33" t="s">
        <v>15</v>
      </c>
      <c r="I24" s="31"/>
      <c r="J24" s="29" t="s">
        <v>147</v>
      </c>
    </row>
    <row r="25" customFormat="false" ht="18" hidden="false" customHeight="true" outlineLevel="0" collapsed="false">
      <c r="A25" s="22" t="n">
        <v>23</v>
      </c>
      <c r="B25" s="34" t="s">
        <v>22</v>
      </c>
      <c r="C25" s="24" t="s">
        <v>148</v>
      </c>
      <c r="D25" s="25" t="s">
        <v>21</v>
      </c>
      <c r="E25" s="24" t="s">
        <v>108</v>
      </c>
      <c r="F25" s="26" t="s">
        <v>149</v>
      </c>
      <c r="G25" s="26" t="s">
        <v>146</v>
      </c>
      <c r="H25" s="33" t="s">
        <v>15</v>
      </c>
      <c r="I25" s="26"/>
      <c r="J25" s="24" t="s">
        <v>150</v>
      </c>
    </row>
    <row r="26" customFormat="false" ht="18" hidden="false" customHeight="true" outlineLevel="0" collapsed="false">
      <c r="A26" s="28" t="n">
        <v>24</v>
      </c>
      <c r="B26" s="34" t="s">
        <v>22</v>
      </c>
      <c r="C26" s="29" t="s">
        <v>151</v>
      </c>
      <c r="D26" s="30" t="s">
        <v>21</v>
      </c>
      <c r="E26" s="29" t="s">
        <v>108</v>
      </c>
      <c r="F26" s="31" t="s">
        <v>152</v>
      </c>
      <c r="G26" s="31" t="s">
        <v>153</v>
      </c>
      <c r="H26" s="32" t="s">
        <v>31</v>
      </c>
      <c r="I26" s="31"/>
      <c r="J26" s="29" t="s">
        <v>124</v>
      </c>
    </row>
    <row r="27" customFormat="false" ht="18" hidden="false" customHeight="true" outlineLevel="0" collapsed="false">
      <c r="A27" s="22" t="n">
        <v>25</v>
      </c>
      <c r="B27" s="34" t="s">
        <v>22</v>
      </c>
      <c r="C27" s="24" t="s">
        <v>154</v>
      </c>
      <c r="D27" s="25" t="s">
        <v>21</v>
      </c>
      <c r="E27" s="24" t="s">
        <v>108</v>
      </c>
      <c r="F27" s="26" t="s">
        <v>155</v>
      </c>
      <c r="G27" s="26" t="s">
        <v>156</v>
      </c>
      <c r="H27" s="32" t="s">
        <v>31</v>
      </c>
      <c r="I27" s="26"/>
      <c r="J27" s="24" t="s">
        <v>157</v>
      </c>
    </row>
    <row r="28" customFormat="false" ht="18" hidden="false" customHeight="true" outlineLevel="0" collapsed="false">
      <c r="A28" s="28" t="n">
        <v>26</v>
      </c>
      <c r="B28" s="34" t="s">
        <v>22</v>
      </c>
      <c r="C28" s="29" t="s">
        <v>154</v>
      </c>
      <c r="D28" s="30" t="s">
        <v>21</v>
      </c>
      <c r="E28" s="29" t="s">
        <v>108</v>
      </c>
      <c r="F28" s="31" t="s">
        <v>158</v>
      </c>
      <c r="G28" s="31" t="s">
        <v>156</v>
      </c>
      <c r="H28" s="32" t="s">
        <v>31</v>
      </c>
      <c r="I28" s="31"/>
      <c r="J28" s="29" t="s">
        <v>157</v>
      </c>
    </row>
    <row r="29" customFormat="false" ht="18" hidden="false" customHeight="true" outlineLevel="0" collapsed="false">
      <c r="A29" s="22" t="n">
        <v>27</v>
      </c>
      <c r="B29" s="34" t="s">
        <v>22</v>
      </c>
      <c r="C29" s="24" t="s">
        <v>159</v>
      </c>
      <c r="D29" s="25" t="s">
        <v>21</v>
      </c>
      <c r="E29" s="24" t="s">
        <v>108</v>
      </c>
      <c r="F29" s="26" t="s">
        <v>160</v>
      </c>
      <c r="G29" s="26" t="s">
        <v>161</v>
      </c>
      <c r="H29" s="32" t="s">
        <v>31</v>
      </c>
      <c r="I29" s="26"/>
      <c r="J29" s="24" t="s">
        <v>124</v>
      </c>
    </row>
    <row r="30" customFormat="false" ht="18" hidden="false" customHeight="true" outlineLevel="0" collapsed="false">
      <c r="A30" s="28" t="n">
        <v>28</v>
      </c>
      <c r="B30" s="34" t="s">
        <v>22</v>
      </c>
      <c r="C30" s="29" t="s">
        <v>162</v>
      </c>
      <c r="D30" s="30" t="s">
        <v>21</v>
      </c>
      <c r="E30" s="29" t="s">
        <v>108</v>
      </c>
      <c r="F30" s="31" t="s">
        <v>163</v>
      </c>
      <c r="G30" s="31" t="s">
        <v>164</v>
      </c>
      <c r="H30" s="33" t="s">
        <v>15</v>
      </c>
      <c r="I30" s="31"/>
      <c r="J30" s="29" t="s">
        <v>165</v>
      </c>
    </row>
    <row r="31" customFormat="false" ht="18" hidden="false" customHeight="true" outlineLevel="0" collapsed="false">
      <c r="A31" s="22" t="n">
        <v>29</v>
      </c>
      <c r="B31" s="34" t="s">
        <v>22</v>
      </c>
      <c r="C31" s="24" t="s">
        <v>166</v>
      </c>
      <c r="D31" s="25" t="s">
        <v>21</v>
      </c>
      <c r="E31" s="24" t="s">
        <v>108</v>
      </c>
      <c r="F31" s="26" t="s">
        <v>167</v>
      </c>
      <c r="G31" s="26" t="s">
        <v>168</v>
      </c>
      <c r="H31" s="32" t="s">
        <v>31</v>
      </c>
      <c r="I31" s="26"/>
      <c r="J31" s="24" t="s">
        <v>169</v>
      </c>
    </row>
    <row r="32" customFormat="false" ht="18" hidden="false" customHeight="true" outlineLevel="0" collapsed="false">
      <c r="A32" s="28" t="n">
        <v>30</v>
      </c>
      <c r="B32" s="34" t="s">
        <v>22</v>
      </c>
      <c r="C32" s="29" t="s">
        <v>170</v>
      </c>
      <c r="D32" s="30" t="s">
        <v>21</v>
      </c>
      <c r="E32" s="29" t="s">
        <v>108</v>
      </c>
      <c r="F32" s="31" t="s">
        <v>171</v>
      </c>
      <c r="G32" s="31" t="s">
        <v>172</v>
      </c>
      <c r="H32" s="32" t="s">
        <v>31</v>
      </c>
      <c r="I32" s="31"/>
      <c r="J32" s="29" t="s">
        <v>124</v>
      </c>
    </row>
    <row r="33" customFormat="false" ht="18" hidden="false" customHeight="true" outlineLevel="0" collapsed="false">
      <c r="A33" s="22" t="n">
        <v>31</v>
      </c>
      <c r="B33" s="34" t="s">
        <v>22</v>
      </c>
      <c r="C33" s="24" t="s">
        <v>173</v>
      </c>
      <c r="D33" s="25" t="s">
        <v>21</v>
      </c>
      <c r="E33" s="24" t="s">
        <v>108</v>
      </c>
      <c r="F33" s="26" t="s">
        <v>174</v>
      </c>
      <c r="G33" s="26" t="s">
        <v>172</v>
      </c>
      <c r="H33" s="32" t="s">
        <v>31</v>
      </c>
      <c r="I33" s="26"/>
      <c r="J33" s="24" t="s">
        <v>124</v>
      </c>
    </row>
    <row r="34" customFormat="false" ht="18" hidden="false" customHeight="true" outlineLevel="0" collapsed="false">
      <c r="A34" s="28" t="n">
        <v>32</v>
      </c>
      <c r="B34" s="34" t="s">
        <v>22</v>
      </c>
      <c r="C34" s="29" t="s">
        <v>175</v>
      </c>
      <c r="D34" s="30" t="s">
        <v>21</v>
      </c>
      <c r="E34" s="29" t="s">
        <v>108</v>
      </c>
      <c r="F34" s="31" t="s">
        <v>176</v>
      </c>
      <c r="G34" s="31" t="s">
        <v>172</v>
      </c>
      <c r="H34" s="32" t="s">
        <v>31</v>
      </c>
      <c r="I34" s="31"/>
      <c r="J34" s="29" t="s">
        <v>124</v>
      </c>
    </row>
    <row r="35" customFormat="false" ht="18" hidden="false" customHeight="true" outlineLevel="0" collapsed="false">
      <c r="A35" s="22" t="n">
        <v>33</v>
      </c>
      <c r="B35" s="34" t="s">
        <v>22</v>
      </c>
      <c r="C35" s="24" t="s">
        <v>177</v>
      </c>
      <c r="D35" s="25" t="s">
        <v>21</v>
      </c>
      <c r="E35" s="24" t="s">
        <v>108</v>
      </c>
      <c r="F35" s="26" t="s">
        <v>178</v>
      </c>
      <c r="G35" s="26" t="s">
        <v>172</v>
      </c>
      <c r="H35" s="32" t="s">
        <v>31</v>
      </c>
      <c r="I35" s="26"/>
      <c r="J35" s="24" t="s">
        <v>124</v>
      </c>
    </row>
    <row r="36" customFormat="false" ht="18" hidden="false" customHeight="true" outlineLevel="0" collapsed="false">
      <c r="A36" s="28" t="n">
        <v>34</v>
      </c>
      <c r="B36" s="34" t="s">
        <v>22</v>
      </c>
      <c r="C36" s="29" t="s">
        <v>179</v>
      </c>
      <c r="D36" s="30" t="s">
        <v>21</v>
      </c>
      <c r="E36" s="29" t="s">
        <v>108</v>
      </c>
      <c r="F36" s="31" t="s">
        <v>180</v>
      </c>
      <c r="G36" s="31" t="s">
        <v>172</v>
      </c>
      <c r="H36" s="32" t="s">
        <v>31</v>
      </c>
      <c r="I36" s="31"/>
      <c r="J36" s="29" t="s">
        <v>124</v>
      </c>
    </row>
    <row r="37" customFormat="false" ht="18" hidden="false" customHeight="true" outlineLevel="0" collapsed="false">
      <c r="A37" s="22" t="n">
        <v>35</v>
      </c>
      <c r="B37" s="34" t="s">
        <v>22</v>
      </c>
      <c r="C37" s="24" t="s">
        <v>181</v>
      </c>
      <c r="D37" s="25" t="s">
        <v>21</v>
      </c>
      <c r="E37" s="24" t="s">
        <v>108</v>
      </c>
      <c r="F37" s="26" t="s">
        <v>182</v>
      </c>
      <c r="G37" s="26" t="s">
        <v>172</v>
      </c>
      <c r="H37" s="32" t="s">
        <v>31</v>
      </c>
      <c r="I37" s="26"/>
      <c r="J37" s="24" t="s">
        <v>124</v>
      </c>
    </row>
    <row r="38" customFormat="false" ht="18" hidden="false" customHeight="true" outlineLevel="0" collapsed="false">
      <c r="A38" s="28" t="n">
        <v>36</v>
      </c>
      <c r="B38" s="34" t="s">
        <v>22</v>
      </c>
      <c r="C38" s="29" t="s">
        <v>183</v>
      </c>
      <c r="D38" s="30" t="s">
        <v>21</v>
      </c>
      <c r="E38" s="29" t="s">
        <v>108</v>
      </c>
      <c r="F38" s="31" t="s">
        <v>184</v>
      </c>
      <c r="G38" s="31" t="s">
        <v>172</v>
      </c>
      <c r="H38" s="32" t="s">
        <v>31</v>
      </c>
      <c r="I38" s="31"/>
      <c r="J38" s="29" t="s">
        <v>124</v>
      </c>
    </row>
    <row r="39" customFormat="false" ht="18" hidden="false" customHeight="true" outlineLevel="0" collapsed="false">
      <c r="A39" s="22" t="n">
        <v>37</v>
      </c>
      <c r="B39" s="34" t="s">
        <v>22</v>
      </c>
      <c r="C39" s="24" t="s">
        <v>185</v>
      </c>
      <c r="D39" s="25" t="s">
        <v>21</v>
      </c>
      <c r="E39" s="24" t="s">
        <v>108</v>
      </c>
      <c r="F39" s="26" t="s">
        <v>186</v>
      </c>
      <c r="G39" s="26" t="s">
        <v>172</v>
      </c>
      <c r="H39" s="32" t="s">
        <v>31</v>
      </c>
      <c r="I39" s="26"/>
      <c r="J39" s="24" t="s">
        <v>124</v>
      </c>
    </row>
    <row r="40" customFormat="false" ht="18" hidden="false" customHeight="true" outlineLevel="0" collapsed="false">
      <c r="A40" s="28" t="n">
        <v>38</v>
      </c>
      <c r="B40" s="34" t="s">
        <v>22</v>
      </c>
      <c r="C40" s="29" t="s">
        <v>187</v>
      </c>
      <c r="D40" s="30" t="s">
        <v>21</v>
      </c>
      <c r="E40" s="29" t="s">
        <v>108</v>
      </c>
      <c r="F40" s="31" t="s">
        <v>188</v>
      </c>
      <c r="G40" s="31" t="s">
        <v>172</v>
      </c>
      <c r="H40" s="32" t="s">
        <v>31</v>
      </c>
      <c r="I40" s="31"/>
      <c r="J40" s="29" t="s">
        <v>124</v>
      </c>
    </row>
    <row r="41" customFormat="false" ht="18" hidden="false" customHeight="true" outlineLevel="0" collapsed="false">
      <c r="A41" s="22" t="n">
        <v>39</v>
      </c>
      <c r="B41" s="34" t="s">
        <v>22</v>
      </c>
      <c r="C41" s="24" t="s">
        <v>189</v>
      </c>
      <c r="D41" s="25" t="s">
        <v>48</v>
      </c>
      <c r="E41" s="24" t="s">
        <v>190</v>
      </c>
      <c r="F41" s="26" t="s">
        <v>191</v>
      </c>
      <c r="G41" s="26" t="s">
        <v>192</v>
      </c>
      <c r="H41" s="32" t="s">
        <v>31</v>
      </c>
      <c r="I41" s="26"/>
      <c r="J41" s="24"/>
    </row>
    <row r="42" customFormat="false" ht="18" hidden="false" customHeight="true" outlineLevel="0" collapsed="false">
      <c r="A42" s="28" t="n">
        <v>40</v>
      </c>
      <c r="B42" s="34" t="s">
        <v>22</v>
      </c>
      <c r="C42" s="29" t="s">
        <v>193</v>
      </c>
      <c r="D42" s="30" t="s">
        <v>36</v>
      </c>
      <c r="E42" s="29" t="s">
        <v>194</v>
      </c>
      <c r="F42" s="31" t="s">
        <v>195</v>
      </c>
      <c r="G42" s="31" t="s">
        <v>123</v>
      </c>
      <c r="H42" s="32" t="s">
        <v>31</v>
      </c>
      <c r="I42" s="31"/>
      <c r="J42" s="29" t="s">
        <v>124</v>
      </c>
    </row>
    <row r="43" customFormat="false" ht="18" hidden="false" customHeight="true" outlineLevel="0" collapsed="false">
      <c r="A43" s="22" t="n">
        <v>41</v>
      </c>
      <c r="B43" s="36" t="s">
        <v>14</v>
      </c>
      <c r="C43" s="24" t="s">
        <v>196</v>
      </c>
      <c r="D43" s="25" t="s">
        <v>29</v>
      </c>
      <c r="E43" s="24" t="s">
        <v>197</v>
      </c>
      <c r="F43" s="26" t="s">
        <v>198</v>
      </c>
      <c r="G43" s="26" t="s">
        <v>199</v>
      </c>
      <c r="H43" s="37" t="s">
        <v>23</v>
      </c>
      <c r="I43" s="26"/>
      <c r="J43" s="24" t="s">
        <v>200</v>
      </c>
    </row>
    <row r="44" customFormat="false" ht="18" hidden="false" customHeight="true" outlineLevel="0" collapsed="false">
      <c r="A44" s="28" t="n">
        <v>42</v>
      </c>
      <c r="B44" s="36" t="s">
        <v>14</v>
      </c>
      <c r="C44" s="29" t="s">
        <v>201</v>
      </c>
      <c r="D44" s="30" t="s">
        <v>45</v>
      </c>
      <c r="E44" s="29" t="s">
        <v>202</v>
      </c>
      <c r="F44" s="31" t="s">
        <v>203</v>
      </c>
      <c r="G44" s="31" t="s">
        <v>204</v>
      </c>
      <c r="H44" s="37" t="s">
        <v>23</v>
      </c>
      <c r="I44" s="31"/>
      <c r="J44" s="29"/>
    </row>
    <row r="45" customFormat="false" ht="18" hidden="false" customHeight="true" outlineLevel="0" collapsed="false">
      <c r="A45" s="22" t="n">
        <v>43</v>
      </c>
      <c r="B45" s="36" t="s">
        <v>14</v>
      </c>
      <c r="C45" s="24" t="s">
        <v>205</v>
      </c>
      <c r="D45" s="25" t="s">
        <v>206</v>
      </c>
      <c r="E45" s="24" t="s">
        <v>207</v>
      </c>
      <c r="F45" s="26" t="s">
        <v>208</v>
      </c>
      <c r="G45" s="26" t="s">
        <v>209</v>
      </c>
      <c r="H45" s="37" t="s">
        <v>23</v>
      </c>
      <c r="I45" s="26"/>
      <c r="J45" s="24"/>
    </row>
    <row r="46" customFormat="false" ht="18" hidden="false" customHeight="true" outlineLevel="0" collapsed="false">
      <c r="A46" s="28" t="n">
        <v>44</v>
      </c>
      <c r="B46" s="36" t="s">
        <v>14</v>
      </c>
      <c r="C46" s="29" t="s">
        <v>210</v>
      </c>
      <c r="D46" s="30" t="s">
        <v>206</v>
      </c>
      <c r="E46" s="29" t="s">
        <v>211</v>
      </c>
      <c r="F46" s="31" t="s">
        <v>212</v>
      </c>
      <c r="G46" s="31" t="s">
        <v>213</v>
      </c>
      <c r="H46" s="37" t="s">
        <v>23</v>
      </c>
      <c r="I46" s="31"/>
      <c r="J46" s="29"/>
    </row>
    <row r="47" customFormat="false" ht="18" hidden="false" customHeight="true" outlineLevel="0" collapsed="false">
      <c r="A47" s="22" t="n">
        <v>45</v>
      </c>
      <c r="B47" s="36" t="s">
        <v>14</v>
      </c>
      <c r="C47" s="24" t="s">
        <v>214</v>
      </c>
      <c r="D47" s="25" t="s">
        <v>13</v>
      </c>
      <c r="E47" s="24" t="s">
        <v>215</v>
      </c>
      <c r="F47" s="26" t="s">
        <v>216</v>
      </c>
      <c r="G47" s="26" t="s">
        <v>217</v>
      </c>
      <c r="H47" s="38" t="s">
        <v>40</v>
      </c>
      <c r="I47" s="26"/>
      <c r="J47" s="24" t="s">
        <v>218</v>
      </c>
    </row>
    <row r="48" customFormat="false" ht="18" hidden="false" customHeight="true" outlineLevel="0" collapsed="false">
      <c r="A48" s="28" t="n">
        <v>46</v>
      </c>
      <c r="B48" s="36" t="s">
        <v>14</v>
      </c>
      <c r="C48" s="29" t="s">
        <v>219</v>
      </c>
      <c r="D48" s="30" t="s">
        <v>13</v>
      </c>
      <c r="E48" s="29" t="s">
        <v>220</v>
      </c>
      <c r="F48" s="31" t="s">
        <v>221</v>
      </c>
      <c r="G48" s="31" t="s">
        <v>222</v>
      </c>
      <c r="H48" s="39" t="s">
        <v>46</v>
      </c>
      <c r="I48" s="31"/>
      <c r="J48" s="29" t="s">
        <v>223</v>
      </c>
    </row>
    <row r="49" customFormat="false" ht="18" hidden="false" customHeight="true" outlineLevel="0" collapsed="false">
      <c r="A49" s="22" t="n">
        <v>47</v>
      </c>
      <c r="B49" s="36" t="s">
        <v>14</v>
      </c>
      <c r="C49" s="24" t="s">
        <v>224</v>
      </c>
      <c r="D49" s="25" t="s">
        <v>13</v>
      </c>
      <c r="E49" s="24" t="s">
        <v>225</v>
      </c>
      <c r="F49" s="26" t="s">
        <v>226</v>
      </c>
      <c r="G49" s="26" t="s">
        <v>227</v>
      </c>
      <c r="H49" s="37" t="s">
        <v>23</v>
      </c>
      <c r="I49" s="26"/>
      <c r="J49" s="24" t="s">
        <v>228</v>
      </c>
    </row>
    <row r="50" customFormat="false" ht="18" hidden="false" customHeight="true" outlineLevel="0" collapsed="false">
      <c r="A50" s="28" t="n">
        <v>48</v>
      </c>
      <c r="B50" s="36" t="s">
        <v>14</v>
      </c>
      <c r="C50" s="29" t="s">
        <v>229</v>
      </c>
      <c r="D50" s="30" t="s">
        <v>13</v>
      </c>
      <c r="E50" s="29" t="s">
        <v>230</v>
      </c>
      <c r="F50" s="31"/>
      <c r="G50" s="31" t="s">
        <v>231</v>
      </c>
      <c r="H50" s="37" t="s">
        <v>23</v>
      </c>
      <c r="I50" s="31"/>
      <c r="J50" s="29" t="s">
        <v>232</v>
      </c>
    </row>
    <row r="51" customFormat="false" ht="18" hidden="false" customHeight="true" outlineLevel="0" collapsed="false">
      <c r="A51" s="22" t="n">
        <v>49</v>
      </c>
      <c r="B51" s="36" t="s">
        <v>14</v>
      </c>
      <c r="C51" s="24" t="s">
        <v>233</v>
      </c>
      <c r="D51" s="25" t="s">
        <v>13</v>
      </c>
      <c r="E51" s="24" t="s">
        <v>234</v>
      </c>
      <c r="F51" s="26" t="s">
        <v>235</v>
      </c>
      <c r="G51" s="26" t="s">
        <v>236</v>
      </c>
      <c r="H51" s="37" t="s">
        <v>23</v>
      </c>
      <c r="I51" s="26"/>
      <c r="J51" s="24"/>
    </row>
    <row r="52" customFormat="false" ht="18" hidden="false" customHeight="true" outlineLevel="0" collapsed="false">
      <c r="A52" s="28" t="n">
        <v>50</v>
      </c>
      <c r="B52" s="36" t="s">
        <v>14</v>
      </c>
      <c r="C52" s="29" t="s">
        <v>237</v>
      </c>
      <c r="D52" s="30" t="s">
        <v>13</v>
      </c>
      <c r="E52" s="29" t="s">
        <v>238</v>
      </c>
      <c r="F52" s="31" t="s">
        <v>239</v>
      </c>
      <c r="G52" s="31" t="s">
        <v>240</v>
      </c>
      <c r="H52" s="37" t="s">
        <v>23</v>
      </c>
      <c r="I52" s="31"/>
      <c r="J52" s="29"/>
    </row>
    <row r="53" customFormat="false" ht="18" hidden="false" customHeight="true" outlineLevel="0" collapsed="false">
      <c r="A53" s="22" t="n">
        <v>51</v>
      </c>
      <c r="B53" s="36" t="s">
        <v>14</v>
      </c>
      <c r="C53" s="24" t="s">
        <v>241</v>
      </c>
      <c r="D53" s="25" t="s">
        <v>13</v>
      </c>
      <c r="E53" s="24" t="s">
        <v>242</v>
      </c>
      <c r="F53" s="26" t="s">
        <v>243</v>
      </c>
      <c r="G53" s="26" t="s">
        <v>244</v>
      </c>
      <c r="H53" s="27" t="s">
        <v>43</v>
      </c>
      <c r="I53" s="26"/>
      <c r="J53" s="24" t="s">
        <v>245</v>
      </c>
    </row>
    <row r="54" customFormat="false" ht="18" hidden="false" customHeight="true" outlineLevel="0" collapsed="false">
      <c r="A54" s="28" t="n">
        <v>52</v>
      </c>
      <c r="B54" s="36" t="s">
        <v>14</v>
      </c>
      <c r="C54" s="29" t="s">
        <v>241</v>
      </c>
      <c r="D54" s="30" t="s">
        <v>13</v>
      </c>
      <c r="E54" s="29" t="s">
        <v>242</v>
      </c>
      <c r="F54" s="31" t="s">
        <v>246</v>
      </c>
      <c r="G54" s="31" t="s">
        <v>247</v>
      </c>
      <c r="H54" s="37" t="s">
        <v>23</v>
      </c>
      <c r="I54" s="31"/>
      <c r="J54" s="29"/>
    </row>
    <row r="55" customFormat="false" ht="18" hidden="false" customHeight="true" outlineLevel="0" collapsed="false">
      <c r="A55" s="22" t="n">
        <v>53</v>
      </c>
      <c r="B55" s="36" t="s">
        <v>14</v>
      </c>
      <c r="C55" s="24" t="s">
        <v>248</v>
      </c>
      <c r="D55" s="25" t="s">
        <v>13</v>
      </c>
      <c r="E55" s="24" t="s">
        <v>238</v>
      </c>
      <c r="F55" s="26" t="s">
        <v>249</v>
      </c>
      <c r="G55" s="26" t="s">
        <v>213</v>
      </c>
      <c r="H55" s="37" t="s">
        <v>23</v>
      </c>
      <c r="I55" s="26"/>
      <c r="J55" s="24"/>
    </row>
    <row r="56" customFormat="false" ht="18" hidden="false" customHeight="true" outlineLevel="0" collapsed="false">
      <c r="A56" s="28" t="n">
        <v>54</v>
      </c>
      <c r="B56" s="36" t="s">
        <v>14</v>
      </c>
      <c r="C56" s="29" t="s">
        <v>250</v>
      </c>
      <c r="D56" s="30" t="s">
        <v>60</v>
      </c>
      <c r="E56" s="29" t="s">
        <v>251</v>
      </c>
      <c r="F56" s="31" t="s">
        <v>252</v>
      </c>
      <c r="G56" s="31" t="s">
        <v>253</v>
      </c>
      <c r="H56" s="37" t="s">
        <v>23</v>
      </c>
      <c r="I56" s="31"/>
      <c r="J56" s="29" t="s">
        <v>254</v>
      </c>
    </row>
    <row r="57" customFormat="false" ht="18" hidden="false" customHeight="true" outlineLevel="0" collapsed="false">
      <c r="A57" s="22" t="n">
        <v>55</v>
      </c>
      <c r="B57" s="36" t="s">
        <v>14</v>
      </c>
      <c r="C57" s="24" t="s">
        <v>255</v>
      </c>
      <c r="D57" s="25" t="s">
        <v>256</v>
      </c>
      <c r="E57" s="24" t="s">
        <v>257</v>
      </c>
      <c r="F57" s="26" t="s">
        <v>258</v>
      </c>
      <c r="G57" s="26" t="s">
        <v>259</v>
      </c>
      <c r="H57" s="37" t="s">
        <v>23</v>
      </c>
      <c r="I57" s="26"/>
      <c r="J57" s="24"/>
    </row>
    <row r="58" customFormat="false" ht="18" hidden="false" customHeight="true" outlineLevel="0" collapsed="false">
      <c r="A58" s="28" t="n">
        <v>56</v>
      </c>
      <c r="B58" s="36" t="s">
        <v>14</v>
      </c>
      <c r="C58" s="29" t="s">
        <v>260</v>
      </c>
      <c r="D58" s="30" t="s">
        <v>48</v>
      </c>
      <c r="E58" s="29" t="s">
        <v>261</v>
      </c>
      <c r="F58" s="31" t="s">
        <v>262</v>
      </c>
      <c r="G58" s="31" t="s">
        <v>263</v>
      </c>
      <c r="H58" s="37" t="s">
        <v>23</v>
      </c>
      <c r="I58" s="31"/>
      <c r="J58" s="29" t="s">
        <v>228</v>
      </c>
    </row>
    <row r="59" customFormat="false" ht="18" hidden="false" customHeight="true" outlineLevel="0" collapsed="false">
      <c r="A59" s="22" t="n">
        <v>57</v>
      </c>
      <c r="B59" s="40" t="s">
        <v>10</v>
      </c>
      <c r="C59" s="24" t="s">
        <v>264</v>
      </c>
      <c r="D59" s="25" t="s">
        <v>265</v>
      </c>
      <c r="E59" s="24" t="s">
        <v>266</v>
      </c>
      <c r="F59" s="26" t="s">
        <v>267</v>
      </c>
      <c r="G59" s="26" t="s">
        <v>105</v>
      </c>
      <c r="H59" s="37" t="s">
        <v>23</v>
      </c>
      <c r="I59" s="26"/>
      <c r="J59" s="24"/>
    </row>
    <row r="60" customFormat="false" ht="18" hidden="false" customHeight="true" outlineLevel="0" collapsed="false">
      <c r="A60" s="28" t="n">
        <v>58</v>
      </c>
      <c r="B60" s="40" t="s">
        <v>10</v>
      </c>
      <c r="C60" s="29" t="s">
        <v>268</v>
      </c>
      <c r="D60" s="30" t="s">
        <v>17</v>
      </c>
      <c r="E60" s="29" t="s">
        <v>269</v>
      </c>
      <c r="F60" s="31" t="s">
        <v>270</v>
      </c>
      <c r="G60" s="31"/>
      <c r="H60" s="37" t="s">
        <v>23</v>
      </c>
      <c r="I60" s="31"/>
      <c r="J60" s="29" t="s">
        <v>228</v>
      </c>
    </row>
    <row r="61" customFormat="false" ht="18" hidden="false" customHeight="true" outlineLevel="0" collapsed="false">
      <c r="A61" s="22" t="n">
        <v>59</v>
      </c>
      <c r="B61" s="40" t="s">
        <v>10</v>
      </c>
      <c r="C61" s="24" t="s">
        <v>271</v>
      </c>
      <c r="D61" s="25" t="s">
        <v>17</v>
      </c>
      <c r="E61" s="24" t="s">
        <v>269</v>
      </c>
      <c r="F61" s="26" t="s">
        <v>272</v>
      </c>
      <c r="G61" s="26"/>
      <c r="H61" s="37" t="s">
        <v>23</v>
      </c>
      <c r="I61" s="26"/>
      <c r="J61" s="24" t="s">
        <v>228</v>
      </c>
    </row>
    <row r="62" customFormat="false" ht="18" hidden="false" customHeight="true" outlineLevel="0" collapsed="false">
      <c r="A62" s="28" t="n">
        <v>60</v>
      </c>
      <c r="B62" s="40" t="s">
        <v>10</v>
      </c>
      <c r="C62" s="29" t="s">
        <v>273</v>
      </c>
      <c r="D62" s="30" t="s">
        <v>17</v>
      </c>
      <c r="E62" s="29" t="s">
        <v>269</v>
      </c>
      <c r="F62" s="31" t="s">
        <v>274</v>
      </c>
      <c r="G62" s="31" t="s">
        <v>275</v>
      </c>
      <c r="H62" s="27" t="s">
        <v>37</v>
      </c>
      <c r="I62" s="31"/>
      <c r="J62" s="29" t="s">
        <v>276</v>
      </c>
    </row>
    <row r="63" customFormat="false" ht="18" hidden="false" customHeight="true" outlineLevel="0" collapsed="false">
      <c r="A63" s="22" t="n">
        <v>61</v>
      </c>
      <c r="B63" s="40" t="s">
        <v>10</v>
      </c>
      <c r="C63" s="24" t="s">
        <v>277</v>
      </c>
      <c r="D63" s="25" t="s">
        <v>17</v>
      </c>
      <c r="E63" s="24" t="s">
        <v>269</v>
      </c>
      <c r="F63" s="26" t="s">
        <v>278</v>
      </c>
      <c r="G63" s="26" t="s">
        <v>279</v>
      </c>
      <c r="H63" s="37" t="s">
        <v>23</v>
      </c>
      <c r="I63" s="26"/>
      <c r="J63" s="24" t="s">
        <v>228</v>
      </c>
    </row>
    <row r="64" customFormat="false" ht="18" hidden="false" customHeight="true" outlineLevel="0" collapsed="false">
      <c r="A64" s="28" t="n">
        <v>62</v>
      </c>
      <c r="B64" s="40" t="s">
        <v>10</v>
      </c>
      <c r="C64" s="29" t="s">
        <v>280</v>
      </c>
      <c r="D64" s="30" t="s">
        <v>17</v>
      </c>
      <c r="E64" s="29" t="s">
        <v>269</v>
      </c>
      <c r="F64" s="31" t="s">
        <v>281</v>
      </c>
      <c r="G64" s="31" t="s">
        <v>282</v>
      </c>
      <c r="H64" s="27" t="s">
        <v>37</v>
      </c>
      <c r="I64" s="31"/>
      <c r="J64" s="29" t="s">
        <v>283</v>
      </c>
    </row>
    <row r="65" customFormat="false" ht="18" hidden="false" customHeight="true" outlineLevel="0" collapsed="false">
      <c r="A65" s="22" t="n">
        <v>63</v>
      </c>
      <c r="B65" s="40" t="s">
        <v>10</v>
      </c>
      <c r="C65" s="24" t="s">
        <v>284</v>
      </c>
      <c r="D65" s="25" t="s">
        <v>17</v>
      </c>
      <c r="E65" s="24" t="s">
        <v>269</v>
      </c>
      <c r="F65" s="26" t="s">
        <v>285</v>
      </c>
      <c r="G65" s="26" t="s">
        <v>286</v>
      </c>
      <c r="H65" s="37" t="s">
        <v>23</v>
      </c>
      <c r="I65" s="26"/>
      <c r="J65" s="24"/>
    </row>
    <row r="66" customFormat="false" ht="18" hidden="false" customHeight="true" outlineLevel="0" collapsed="false">
      <c r="A66" s="28" t="n">
        <v>64</v>
      </c>
      <c r="B66" s="40" t="s">
        <v>10</v>
      </c>
      <c r="C66" s="29" t="s">
        <v>287</v>
      </c>
      <c r="D66" s="30" t="s">
        <v>17</v>
      </c>
      <c r="E66" s="29" t="s">
        <v>269</v>
      </c>
      <c r="F66" s="31" t="s">
        <v>288</v>
      </c>
      <c r="G66" s="31" t="s">
        <v>289</v>
      </c>
      <c r="H66" s="37" t="s">
        <v>23</v>
      </c>
      <c r="I66" s="31"/>
      <c r="J66" s="29" t="s">
        <v>228</v>
      </c>
    </row>
    <row r="67" customFormat="false" ht="18" hidden="false" customHeight="true" outlineLevel="0" collapsed="false">
      <c r="A67" s="22" t="n">
        <v>65</v>
      </c>
      <c r="B67" s="40" t="s">
        <v>10</v>
      </c>
      <c r="C67" s="24" t="s">
        <v>290</v>
      </c>
      <c r="D67" s="25" t="s">
        <v>17</v>
      </c>
      <c r="E67" s="24" t="s">
        <v>269</v>
      </c>
      <c r="F67" s="26" t="s">
        <v>291</v>
      </c>
      <c r="G67" s="26" t="s">
        <v>292</v>
      </c>
      <c r="H67" s="37" t="s">
        <v>23</v>
      </c>
      <c r="I67" s="26"/>
      <c r="J67" s="24" t="s">
        <v>228</v>
      </c>
    </row>
    <row r="68" customFormat="false" ht="18" hidden="false" customHeight="true" outlineLevel="0" collapsed="false">
      <c r="A68" s="28" t="n">
        <v>66</v>
      </c>
      <c r="B68" s="40" t="s">
        <v>10</v>
      </c>
      <c r="C68" s="29" t="s">
        <v>293</v>
      </c>
      <c r="D68" s="30" t="s">
        <v>17</v>
      </c>
      <c r="E68" s="29" t="s">
        <v>294</v>
      </c>
      <c r="F68" s="31" t="s">
        <v>295</v>
      </c>
      <c r="G68" s="31" t="s">
        <v>296</v>
      </c>
      <c r="H68" s="33" t="s">
        <v>15</v>
      </c>
      <c r="I68" s="31"/>
      <c r="J68" s="29" t="s">
        <v>297</v>
      </c>
    </row>
    <row r="69" customFormat="false" ht="18" hidden="false" customHeight="true" outlineLevel="0" collapsed="false">
      <c r="A69" s="22" t="n">
        <v>67</v>
      </c>
      <c r="B69" s="40" t="s">
        <v>10</v>
      </c>
      <c r="C69" s="24" t="s">
        <v>298</v>
      </c>
      <c r="D69" s="25" t="s">
        <v>17</v>
      </c>
      <c r="E69" s="24" t="s">
        <v>269</v>
      </c>
      <c r="F69" s="26" t="s">
        <v>299</v>
      </c>
      <c r="G69" s="26" t="s">
        <v>300</v>
      </c>
      <c r="H69" s="37" t="s">
        <v>23</v>
      </c>
      <c r="I69" s="26"/>
      <c r="J69" s="24" t="s">
        <v>301</v>
      </c>
    </row>
    <row r="70" customFormat="false" ht="18" hidden="false" customHeight="true" outlineLevel="0" collapsed="false">
      <c r="A70" s="28" t="n">
        <v>68</v>
      </c>
      <c r="B70" s="40" t="s">
        <v>10</v>
      </c>
      <c r="C70" s="29" t="s">
        <v>302</v>
      </c>
      <c r="D70" s="30" t="s">
        <v>17</v>
      </c>
      <c r="E70" s="29" t="s">
        <v>269</v>
      </c>
      <c r="F70" s="31" t="s">
        <v>303</v>
      </c>
      <c r="G70" s="31" t="s">
        <v>304</v>
      </c>
      <c r="H70" s="37" t="s">
        <v>23</v>
      </c>
      <c r="I70" s="31"/>
      <c r="J70" s="29" t="s">
        <v>228</v>
      </c>
    </row>
    <row r="71" customFormat="false" ht="18" hidden="false" customHeight="true" outlineLevel="0" collapsed="false">
      <c r="A71" s="22" t="n">
        <v>69</v>
      </c>
      <c r="B71" s="40" t="s">
        <v>10</v>
      </c>
      <c r="C71" s="24" t="s">
        <v>305</v>
      </c>
      <c r="D71" s="25" t="s">
        <v>17</v>
      </c>
      <c r="E71" s="24" t="s">
        <v>269</v>
      </c>
      <c r="F71" s="26" t="s">
        <v>306</v>
      </c>
      <c r="G71" s="26" t="s">
        <v>307</v>
      </c>
      <c r="H71" s="37" t="s">
        <v>23</v>
      </c>
      <c r="I71" s="26"/>
      <c r="J71" s="24" t="s">
        <v>228</v>
      </c>
    </row>
    <row r="72" customFormat="false" ht="18" hidden="false" customHeight="true" outlineLevel="0" collapsed="false">
      <c r="A72" s="28" t="n">
        <v>70</v>
      </c>
      <c r="B72" s="40" t="s">
        <v>10</v>
      </c>
      <c r="C72" s="29" t="s">
        <v>308</v>
      </c>
      <c r="D72" s="30" t="s">
        <v>17</v>
      </c>
      <c r="E72" s="29" t="s">
        <v>269</v>
      </c>
      <c r="F72" s="31" t="s">
        <v>309</v>
      </c>
      <c r="G72" s="31" t="s">
        <v>307</v>
      </c>
      <c r="H72" s="37" t="s">
        <v>23</v>
      </c>
      <c r="I72" s="31"/>
      <c r="J72" s="29" t="s">
        <v>228</v>
      </c>
    </row>
    <row r="73" customFormat="false" ht="18" hidden="false" customHeight="true" outlineLevel="0" collapsed="false">
      <c r="A73" s="22" t="n">
        <v>71</v>
      </c>
      <c r="B73" s="40" t="s">
        <v>10</v>
      </c>
      <c r="C73" s="24" t="s">
        <v>310</v>
      </c>
      <c r="D73" s="25" t="s">
        <v>17</v>
      </c>
      <c r="E73" s="24" t="s">
        <v>269</v>
      </c>
      <c r="F73" s="26" t="s">
        <v>311</v>
      </c>
      <c r="G73" s="26" t="s">
        <v>312</v>
      </c>
      <c r="H73" s="27" t="s">
        <v>37</v>
      </c>
      <c r="I73" s="26"/>
      <c r="J73" s="24" t="s">
        <v>313</v>
      </c>
    </row>
    <row r="74" customFormat="false" ht="18" hidden="false" customHeight="true" outlineLevel="0" collapsed="false">
      <c r="A74" s="28" t="n">
        <v>72</v>
      </c>
      <c r="B74" s="40" t="s">
        <v>10</v>
      </c>
      <c r="C74" s="29" t="s">
        <v>314</v>
      </c>
      <c r="D74" s="30" t="s">
        <v>17</v>
      </c>
      <c r="E74" s="29" t="s">
        <v>269</v>
      </c>
      <c r="F74" s="31" t="s">
        <v>315</v>
      </c>
      <c r="G74" s="31" t="s">
        <v>316</v>
      </c>
      <c r="H74" s="27" t="s">
        <v>37</v>
      </c>
      <c r="I74" s="31"/>
      <c r="J74" s="29" t="s">
        <v>317</v>
      </c>
    </row>
    <row r="75" customFormat="false" ht="18" hidden="false" customHeight="true" outlineLevel="0" collapsed="false">
      <c r="A75" s="22" t="n">
        <v>73</v>
      </c>
      <c r="B75" s="40" t="s">
        <v>10</v>
      </c>
      <c r="C75" s="24" t="s">
        <v>318</v>
      </c>
      <c r="D75" s="25" t="s">
        <v>17</v>
      </c>
      <c r="E75" s="24" t="s">
        <v>319</v>
      </c>
      <c r="F75" s="26" t="s">
        <v>320</v>
      </c>
      <c r="G75" s="26" t="s">
        <v>321</v>
      </c>
      <c r="H75" s="37" t="s">
        <v>23</v>
      </c>
      <c r="I75" s="26"/>
      <c r="J75" s="24"/>
    </row>
    <row r="76" customFormat="false" ht="18" hidden="false" customHeight="true" outlineLevel="0" collapsed="false">
      <c r="A76" s="28" t="n">
        <v>74</v>
      </c>
      <c r="B76" s="40" t="s">
        <v>10</v>
      </c>
      <c r="C76" s="29" t="s">
        <v>322</v>
      </c>
      <c r="D76" s="30" t="s">
        <v>17</v>
      </c>
      <c r="E76" s="29" t="s">
        <v>319</v>
      </c>
      <c r="F76" s="31" t="s">
        <v>323</v>
      </c>
      <c r="G76" s="31" t="s">
        <v>321</v>
      </c>
      <c r="H76" s="37" t="s">
        <v>23</v>
      </c>
      <c r="I76" s="31"/>
      <c r="J76" s="29" t="s">
        <v>324</v>
      </c>
    </row>
    <row r="77" customFormat="false" ht="18" hidden="false" customHeight="true" outlineLevel="0" collapsed="false">
      <c r="A77" s="22" t="n">
        <v>75</v>
      </c>
      <c r="B77" s="40" t="s">
        <v>10</v>
      </c>
      <c r="C77" s="24" t="s">
        <v>325</v>
      </c>
      <c r="D77" s="25" t="s">
        <v>17</v>
      </c>
      <c r="E77" s="24" t="s">
        <v>326</v>
      </c>
      <c r="F77" s="26" t="s">
        <v>327</v>
      </c>
      <c r="G77" s="26" t="s">
        <v>328</v>
      </c>
      <c r="H77" s="33" t="s">
        <v>15</v>
      </c>
      <c r="I77" s="26"/>
      <c r="J77" s="24" t="s">
        <v>329</v>
      </c>
    </row>
    <row r="78" customFormat="false" ht="18" hidden="false" customHeight="true" outlineLevel="0" collapsed="false">
      <c r="A78" s="28" t="n">
        <v>76</v>
      </c>
      <c r="B78" s="40" t="s">
        <v>10</v>
      </c>
      <c r="C78" s="29" t="s">
        <v>330</v>
      </c>
      <c r="D78" s="30" t="s">
        <v>17</v>
      </c>
      <c r="E78" s="29" t="s">
        <v>319</v>
      </c>
      <c r="F78" s="31" t="s">
        <v>331</v>
      </c>
      <c r="G78" s="31" t="s">
        <v>332</v>
      </c>
      <c r="H78" s="37" t="s">
        <v>23</v>
      </c>
      <c r="I78" s="31"/>
      <c r="J78" s="29" t="s">
        <v>333</v>
      </c>
    </row>
    <row r="79" customFormat="false" ht="18" hidden="false" customHeight="true" outlineLevel="0" collapsed="false">
      <c r="A79" s="22" t="n">
        <v>77</v>
      </c>
      <c r="B79" s="40" t="s">
        <v>10</v>
      </c>
      <c r="C79" s="24" t="s">
        <v>334</v>
      </c>
      <c r="D79" s="25" t="s">
        <v>17</v>
      </c>
      <c r="E79" s="24" t="s">
        <v>269</v>
      </c>
      <c r="F79" s="26" t="s">
        <v>335</v>
      </c>
      <c r="G79" s="26" t="s">
        <v>336</v>
      </c>
      <c r="H79" s="37" t="s">
        <v>23</v>
      </c>
      <c r="I79" s="26"/>
      <c r="J79" s="24" t="s">
        <v>228</v>
      </c>
    </row>
    <row r="80" customFormat="false" ht="18" hidden="false" customHeight="true" outlineLevel="0" collapsed="false">
      <c r="A80" s="28" t="n">
        <v>78</v>
      </c>
      <c r="B80" s="40" t="s">
        <v>10</v>
      </c>
      <c r="C80" s="29" t="s">
        <v>337</v>
      </c>
      <c r="D80" s="30" t="s">
        <v>17</v>
      </c>
      <c r="E80" s="29" t="s">
        <v>269</v>
      </c>
      <c r="F80" s="31" t="s">
        <v>338</v>
      </c>
      <c r="G80" s="31" t="s">
        <v>339</v>
      </c>
      <c r="H80" s="37" t="s">
        <v>23</v>
      </c>
      <c r="I80" s="31"/>
      <c r="J80" s="29" t="s">
        <v>228</v>
      </c>
    </row>
    <row r="81" customFormat="false" ht="18" hidden="false" customHeight="true" outlineLevel="0" collapsed="false">
      <c r="A81" s="22" t="n">
        <v>79</v>
      </c>
      <c r="B81" s="40" t="s">
        <v>10</v>
      </c>
      <c r="C81" s="24" t="s">
        <v>340</v>
      </c>
      <c r="D81" s="25" t="s">
        <v>17</v>
      </c>
      <c r="E81" s="24" t="s">
        <v>269</v>
      </c>
      <c r="F81" s="26" t="s">
        <v>341</v>
      </c>
      <c r="G81" s="26" t="s">
        <v>342</v>
      </c>
      <c r="H81" s="37" t="s">
        <v>23</v>
      </c>
      <c r="I81" s="26"/>
      <c r="J81" s="24" t="s">
        <v>343</v>
      </c>
    </row>
    <row r="82" customFormat="false" ht="18" hidden="false" customHeight="true" outlineLevel="0" collapsed="false">
      <c r="A82" s="28" t="n">
        <v>80</v>
      </c>
      <c r="B82" s="40" t="s">
        <v>10</v>
      </c>
      <c r="C82" s="29" t="s">
        <v>344</v>
      </c>
      <c r="D82" s="30" t="s">
        <v>17</v>
      </c>
      <c r="E82" s="29" t="s">
        <v>269</v>
      </c>
      <c r="F82" s="31" t="s">
        <v>345</v>
      </c>
      <c r="G82" s="31" t="s">
        <v>346</v>
      </c>
      <c r="H82" s="39" t="s">
        <v>46</v>
      </c>
      <c r="I82" s="31"/>
      <c r="J82" s="29" t="s">
        <v>223</v>
      </c>
    </row>
    <row r="83" customFormat="false" ht="18" hidden="false" customHeight="true" outlineLevel="0" collapsed="false">
      <c r="A83" s="22" t="n">
        <v>81</v>
      </c>
      <c r="B83" s="40" t="s">
        <v>10</v>
      </c>
      <c r="C83" s="24" t="s">
        <v>340</v>
      </c>
      <c r="D83" s="25" t="s">
        <v>17</v>
      </c>
      <c r="E83" s="24" t="s">
        <v>347</v>
      </c>
      <c r="F83" s="26" t="s">
        <v>348</v>
      </c>
      <c r="G83" s="26" t="s">
        <v>349</v>
      </c>
      <c r="H83" s="37" t="s">
        <v>23</v>
      </c>
      <c r="I83" s="26"/>
      <c r="J83" s="24"/>
    </row>
    <row r="84" customFormat="false" ht="18" hidden="false" customHeight="true" outlineLevel="0" collapsed="false">
      <c r="A84" s="28" t="n">
        <v>82</v>
      </c>
      <c r="B84" s="40" t="s">
        <v>10</v>
      </c>
      <c r="C84" s="29" t="s">
        <v>350</v>
      </c>
      <c r="D84" s="30" t="s">
        <v>42</v>
      </c>
      <c r="E84" s="29" t="s">
        <v>351</v>
      </c>
      <c r="F84" s="31" t="s">
        <v>352</v>
      </c>
      <c r="G84" s="31" t="s">
        <v>353</v>
      </c>
      <c r="H84" s="27" t="s">
        <v>43</v>
      </c>
      <c r="I84" s="31"/>
      <c r="J84" s="29" t="s">
        <v>354</v>
      </c>
    </row>
    <row r="85" customFormat="false" ht="18" hidden="false" customHeight="true" outlineLevel="0" collapsed="false">
      <c r="A85" s="22" t="n">
        <v>83</v>
      </c>
      <c r="B85" s="40" t="s">
        <v>10</v>
      </c>
      <c r="C85" s="24" t="s">
        <v>355</v>
      </c>
      <c r="D85" s="25" t="s">
        <v>42</v>
      </c>
      <c r="E85" s="24" t="s">
        <v>356</v>
      </c>
      <c r="F85" s="26" t="s">
        <v>357</v>
      </c>
      <c r="G85" s="26" t="s">
        <v>358</v>
      </c>
      <c r="H85" s="27" t="s">
        <v>37</v>
      </c>
      <c r="I85" s="26"/>
      <c r="J85" s="24" t="s">
        <v>359</v>
      </c>
    </row>
    <row r="86" customFormat="false" ht="18" hidden="false" customHeight="true" outlineLevel="0" collapsed="false">
      <c r="A86" s="28" t="n">
        <v>84</v>
      </c>
      <c r="B86" s="40" t="s">
        <v>10</v>
      </c>
      <c r="C86" s="29" t="s">
        <v>360</v>
      </c>
      <c r="D86" s="30" t="s">
        <v>13</v>
      </c>
      <c r="E86" s="29" t="s">
        <v>361</v>
      </c>
      <c r="F86" s="31" t="s">
        <v>362</v>
      </c>
      <c r="G86" s="31" t="s">
        <v>363</v>
      </c>
      <c r="H86" s="38" t="s">
        <v>40</v>
      </c>
      <c r="I86" s="31"/>
      <c r="J86" s="29" t="s">
        <v>364</v>
      </c>
    </row>
    <row r="87" customFormat="false" ht="18" hidden="false" customHeight="true" outlineLevel="0" collapsed="false">
      <c r="A87" s="22" t="n">
        <v>85</v>
      </c>
      <c r="B87" s="40" t="s">
        <v>10</v>
      </c>
      <c r="C87" s="24" t="s">
        <v>365</v>
      </c>
      <c r="D87" s="25" t="s">
        <v>13</v>
      </c>
      <c r="E87" s="24" t="s">
        <v>366</v>
      </c>
      <c r="F87" s="26" t="s">
        <v>367</v>
      </c>
      <c r="G87" s="26" t="s">
        <v>292</v>
      </c>
      <c r="H87" s="37" t="s">
        <v>23</v>
      </c>
      <c r="I87" s="26"/>
      <c r="J87" s="24" t="s">
        <v>228</v>
      </c>
    </row>
    <row r="88" customFormat="false" ht="18" hidden="false" customHeight="true" outlineLevel="0" collapsed="false">
      <c r="A88" s="28" t="n">
        <v>86</v>
      </c>
      <c r="B88" s="40" t="s">
        <v>10</v>
      </c>
      <c r="C88" s="29" t="s">
        <v>368</v>
      </c>
      <c r="D88" s="30" t="s">
        <v>13</v>
      </c>
      <c r="E88" s="29" t="s">
        <v>366</v>
      </c>
      <c r="F88" s="31" t="s">
        <v>369</v>
      </c>
      <c r="G88" s="31" t="s">
        <v>370</v>
      </c>
      <c r="H88" s="37" t="s">
        <v>23</v>
      </c>
      <c r="I88" s="31"/>
      <c r="J88" s="29"/>
    </row>
    <row r="89" customFormat="false" ht="18" hidden="false" customHeight="true" outlineLevel="0" collapsed="false">
      <c r="A89" s="22" t="n">
        <v>87</v>
      </c>
      <c r="B89" s="40" t="s">
        <v>10</v>
      </c>
      <c r="C89" s="24" t="s">
        <v>371</v>
      </c>
      <c r="D89" s="25" t="s">
        <v>13</v>
      </c>
      <c r="E89" s="24" t="s">
        <v>372</v>
      </c>
      <c r="F89" s="26" t="s">
        <v>373</v>
      </c>
      <c r="G89" s="26" t="s">
        <v>374</v>
      </c>
      <c r="H89" s="37" t="s">
        <v>23</v>
      </c>
      <c r="I89" s="26"/>
      <c r="J89" s="24"/>
    </row>
    <row r="90" customFormat="false" ht="18" hidden="false" customHeight="true" outlineLevel="0" collapsed="false">
      <c r="A90" s="28" t="n">
        <v>88</v>
      </c>
      <c r="B90" s="40" t="s">
        <v>10</v>
      </c>
      <c r="C90" s="29" t="s">
        <v>375</v>
      </c>
      <c r="D90" s="30" t="s">
        <v>13</v>
      </c>
      <c r="E90" s="29" t="s">
        <v>376</v>
      </c>
      <c r="F90" s="31" t="s">
        <v>377</v>
      </c>
      <c r="G90" s="31" t="s">
        <v>378</v>
      </c>
      <c r="H90" s="37" t="s">
        <v>23</v>
      </c>
      <c r="I90" s="31"/>
      <c r="J90" s="29" t="s">
        <v>379</v>
      </c>
    </row>
    <row r="91" customFormat="false" ht="18" hidden="false" customHeight="true" outlineLevel="0" collapsed="false">
      <c r="A91" s="22" t="n">
        <v>89</v>
      </c>
      <c r="B91" s="40" t="s">
        <v>10</v>
      </c>
      <c r="C91" s="24" t="s">
        <v>380</v>
      </c>
      <c r="D91" s="25" t="s">
        <v>13</v>
      </c>
      <c r="E91" s="24" t="s">
        <v>381</v>
      </c>
      <c r="F91" s="26" t="s">
        <v>382</v>
      </c>
      <c r="G91" s="26" t="s">
        <v>231</v>
      </c>
      <c r="H91" s="33" t="s">
        <v>15</v>
      </c>
      <c r="I91" s="26"/>
      <c r="J91" s="24" t="s">
        <v>383</v>
      </c>
    </row>
    <row r="92" customFormat="false" ht="18" hidden="false" customHeight="true" outlineLevel="0" collapsed="false">
      <c r="A92" s="28" t="n">
        <v>90</v>
      </c>
      <c r="B92" s="40" t="s">
        <v>10</v>
      </c>
      <c r="C92" s="29" t="s">
        <v>384</v>
      </c>
      <c r="D92" s="30" t="s">
        <v>13</v>
      </c>
      <c r="E92" s="29" t="s">
        <v>385</v>
      </c>
      <c r="F92" s="31" t="s">
        <v>386</v>
      </c>
      <c r="G92" s="31" t="s">
        <v>387</v>
      </c>
      <c r="H92" s="27" t="s">
        <v>37</v>
      </c>
      <c r="I92" s="31"/>
      <c r="J92" s="29" t="s">
        <v>388</v>
      </c>
    </row>
    <row r="93" customFormat="false" ht="18" hidden="false" customHeight="true" outlineLevel="0" collapsed="false">
      <c r="A93" s="22" t="n">
        <v>91</v>
      </c>
      <c r="B93" s="40" t="s">
        <v>10</v>
      </c>
      <c r="C93" s="24" t="s">
        <v>389</v>
      </c>
      <c r="D93" s="25" t="s">
        <v>13</v>
      </c>
      <c r="E93" s="24" t="s">
        <v>225</v>
      </c>
      <c r="F93" s="26" t="s">
        <v>390</v>
      </c>
      <c r="G93" s="26" t="s">
        <v>387</v>
      </c>
      <c r="H93" s="38" t="s">
        <v>40</v>
      </c>
      <c r="I93" s="26"/>
      <c r="J93" s="24" t="s">
        <v>391</v>
      </c>
    </row>
    <row r="94" customFormat="false" ht="18" hidden="false" customHeight="true" outlineLevel="0" collapsed="false">
      <c r="A94" s="28" t="n">
        <v>92</v>
      </c>
      <c r="B94" s="40" t="s">
        <v>10</v>
      </c>
      <c r="C94" s="29" t="s">
        <v>392</v>
      </c>
      <c r="D94" s="30" t="s">
        <v>13</v>
      </c>
      <c r="E94" s="29" t="s">
        <v>385</v>
      </c>
      <c r="F94" s="31" t="s">
        <v>393</v>
      </c>
      <c r="G94" s="31" t="s">
        <v>394</v>
      </c>
      <c r="H94" s="38" t="s">
        <v>40</v>
      </c>
      <c r="I94" s="31"/>
      <c r="J94" s="29" t="s">
        <v>395</v>
      </c>
    </row>
    <row r="95" customFormat="false" ht="18" hidden="false" customHeight="true" outlineLevel="0" collapsed="false">
      <c r="A95" s="22" t="n">
        <v>93</v>
      </c>
      <c r="B95" s="40" t="s">
        <v>10</v>
      </c>
      <c r="C95" s="24" t="s">
        <v>396</v>
      </c>
      <c r="D95" s="25" t="s">
        <v>13</v>
      </c>
      <c r="E95" s="24" t="s">
        <v>361</v>
      </c>
      <c r="F95" s="26" t="s">
        <v>397</v>
      </c>
      <c r="G95" s="26" t="s">
        <v>398</v>
      </c>
      <c r="H95" s="27" t="s">
        <v>37</v>
      </c>
      <c r="I95" s="26"/>
      <c r="J95" s="24" t="s">
        <v>399</v>
      </c>
    </row>
    <row r="96" customFormat="false" ht="18" hidden="false" customHeight="true" outlineLevel="0" collapsed="false">
      <c r="A96" s="28" t="n">
        <v>94</v>
      </c>
      <c r="B96" s="40" t="s">
        <v>10</v>
      </c>
      <c r="C96" s="29" t="s">
        <v>400</v>
      </c>
      <c r="D96" s="30" t="s">
        <v>13</v>
      </c>
      <c r="E96" s="29" t="s">
        <v>361</v>
      </c>
      <c r="F96" s="31" t="s">
        <v>401</v>
      </c>
      <c r="G96" s="31" t="s">
        <v>398</v>
      </c>
      <c r="H96" s="38" t="s">
        <v>40</v>
      </c>
      <c r="I96" s="31"/>
      <c r="J96" s="29" t="s">
        <v>364</v>
      </c>
    </row>
    <row r="97" customFormat="false" ht="18" hidden="false" customHeight="true" outlineLevel="0" collapsed="false">
      <c r="A97" s="22" t="n">
        <v>95</v>
      </c>
      <c r="B97" s="40" t="s">
        <v>10</v>
      </c>
      <c r="C97" s="24" t="s">
        <v>402</v>
      </c>
      <c r="D97" s="25" t="s">
        <v>13</v>
      </c>
      <c r="E97" s="24" t="s">
        <v>361</v>
      </c>
      <c r="F97" s="26" t="s">
        <v>403</v>
      </c>
      <c r="G97" s="26" t="s">
        <v>404</v>
      </c>
      <c r="H97" s="38" t="s">
        <v>40</v>
      </c>
      <c r="I97" s="26"/>
      <c r="J97" s="24" t="s">
        <v>364</v>
      </c>
    </row>
    <row r="98" customFormat="false" ht="18" hidden="false" customHeight="true" outlineLevel="0" collapsed="false">
      <c r="A98" s="28" t="n">
        <v>96</v>
      </c>
      <c r="B98" s="40" t="s">
        <v>10</v>
      </c>
      <c r="C98" s="29" t="s">
        <v>405</v>
      </c>
      <c r="D98" s="30" t="s">
        <v>13</v>
      </c>
      <c r="E98" s="29" t="s">
        <v>406</v>
      </c>
      <c r="F98" s="31" t="s">
        <v>407</v>
      </c>
      <c r="G98" s="31" t="s">
        <v>408</v>
      </c>
      <c r="H98" s="38" t="s">
        <v>40</v>
      </c>
      <c r="I98" s="31"/>
      <c r="J98" s="29" t="s">
        <v>409</v>
      </c>
    </row>
    <row r="99" customFormat="false" ht="18" hidden="false" customHeight="true" outlineLevel="0" collapsed="false">
      <c r="A99" s="22" t="n">
        <v>97</v>
      </c>
      <c r="B99" s="40" t="s">
        <v>10</v>
      </c>
      <c r="C99" s="24" t="s">
        <v>410</v>
      </c>
      <c r="D99" s="25" t="s">
        <v>13</v>
      </c>
      <c r="E99" s="24" t="s">
        <v>361</v>
      </c>
      <c r="F99" s="26" t="s">
        <v>411</v>
      </c>
      <c r="G99" s="26" t="s">
        <v>412</v>
      </c>
      <c r="H99" s="38" t="s">
        <v>40</v>
      </c>
      <c r="I99" s="26"/>
      <c r="J99" s="24" t="s">
        <v>364</v>
      </c>
    </row>
    <row r="100" customFormat="false" ht="18" hidden="false" customHeight="true" outlineLevel="0" collapsed="false">
      <c r="A100" s="28" t="n">
        <v>98</v>
      </c>
      <c r="B100" s="40" t="s">
        <v>10</v>
      </c>
      <c r="C100" s="29" t="s">
        <v>413</v>
      </c>
      <c r="D100" s="30" t="s">
        <v>13</v>
      </c>
      <c r="E100" s="29" t="s">
        <v>361</v>
      </c>
      <c r="F100" s="31" t="s">
        <v>414</v>
      </c>
      <c r="G100" s="31" t="s">
        <v>415</v>
      </c>
      <c r="H100" s="38" t="s">
        <v>40</v>
      </c>
      <c r="I100" s="31"/>
      <c r="J100" s="29" t="s">
        <v>364</v>
      </c>
    </row>
    <row r="101" customFormat="false" ht="18" hidden="false" customHeight="true" outlineLevel="0" collapsed="false">
      <c r="A101" s="22" t="n">
        <v>99</v>
      </c>
      <c r="B101" s="40" t="s">
        <v>10</v>
      </c>
      <c r="C101" s="24" t="s">
        <v>416</v>
      </c>
      <c r="D101" s="25" t="s">
        <v>13</v>
      </c>
      <c r="E101" s="24" t="s">
        <v>417</v>
      </c>
      <c r="F101" s="26" t="s">
        <v>418</v>
      </c>
      <c r="G101" s="26" t="s">
        <v>349</v>
      </c>
      <c r="H101" s="37" t="s">
        <v>23</v>
      </c>
      <c r="I101" s="26"/>
      <c r="J101" s="24"/>
    </row>
    <row r="102" customFormat="false" ht="18" hidden="false" customHeight="true" outlineLevel="0" collapsed="false">
      <c r="A102" s="28" t="n">
        <v>100</v>
      </c>
      <c r="B102" s="40" t="s">
        <v>10</v>
      </c>
      <c r="C102" s="29" t="s">
        <v>419</v>
      </c>
      <c r="D102" s="30" t="s">
        <v>60</v>
      </c>
      <c r="E102" s="29" t="s">
        <v>420</v>
      </c>
      <c r="F102" s="31" t="s">
        <v>419</v>
      </c>
      <c r="G102" s="31"/>
      <c r="H102" s="37" t="s">
        <v>23</v>
      </c>
      <c r="I102" s="31"/>
      <c r="J102" s="29"/>
    </row>
    <row r="103" customFormat="false" ht="18" hidden="false" customHeight="true" outlineLevel="0" collapsed="false">
      <c r="A103" s="22" t="n">
        <v>101</v>
      </c>
      <c r="B103" s="40" t="s">
        <v>10</v>
      </c>
      <c r="C103" s="24" t="s">
        <v>421</v>
      </c>
      <c r="D103" s="25" t="s">
        <v>60</v>
      </c>
      <c r="E103" s="24" t="s">
        <v>422</v>
      </c>
      <c r="F103" s="26" t="s">
        <v>423</v>
      </c>
      <c r="G103" s="26" t="s">
        <v>424</v>
      </c>
      <c r="H103" s="38" t="s">
        <v>40</v>
      </c>
      <c r="I103" s="26"/>
      <c r="J103" s="24" t="s">
        <v>364</v>
      </c>
    </row>
    <row r="104" customFormat="false" ht="18" hidden="false" customHeight="true" outlineLevel="0" collapsed="false">
      <c r="A104" s="28" t="n">
        <v>102</v>
      </c>
      <c r="B104" s="40" t="s">
        <v>10</v>
      </c>
      <c r="C104" s="29" t="s">
        <v>425</v>
      </c>
      <c r="D104" s="30" t="s">
        <v>60</v>
      </c>
      <c r="E104" s="29" t="s">
        <v>242</v>
      </c>
      <c r="F104" s="31" t="s">
        <v>426</v>
      </c>
      <c r="G104" s="31" t="s">
        <v>427</v>
      </c>
      <c r="H104" s="37" t="s">
        <v>23</v>
      </c>
      <c r="I104" s="31"/>
      <c r="J104" s="29"/>
    </row>
    <row r="105" customFormat="false" ht="18" hidden="false" customHeight="true" outlineLevel="0" collapsed="false">
      <c r="A105" s="22" t="n">
        <v>103</v>
      </c>
      <c r="B105" s="40" t="s">
        <v>10</v>
      </c>
      <c r="C105" s="24" t="s">
        <v>428</v>
      </c>
      <c r="D105" s="25" t="s">
        <v>21</v>
      </c>
      <c r="E105" s="24" t="s">
        <v>429</v>
      </c>
      <c r="F105" s="26" t="s">
        <v>430</v>
      </c>
      <c r="G105" s="26"/>
      <c r="H105" s="38" t="s">
        <v>40</v>
      </c>
      <c r="I105" s="26"/>
      <c r="J105" s="24" t="s">
        <v>431</v>
      </c>
    </row>
    <row r="106" customFormat="false" ht="18" hidden="false" customHeight="true" outlineLevel="0" collapsed="false">
      <c r="A106" s="28" t="n">
        <v>104</v>
      </c>
      <c r="B106" s="40" t="s">
        <v>10</v>
      </c>
      <c r="C106" s="29" t="s">
        <v>432</v>
      </c>
      <c r="D106" s="30" t="s">
        <v>433</v>
      </c>
      <c r="E106" s="29" t="s">
        <v>434</v>
      </c>
      <c r="F106" s="31" t="s">
        <v>435</v>
      </c>
      <c r="G106" s="31" t="s">
        <v>436</v>
      </c>
      <c r="H106" s="37" t="s">
        <v>23</v>
      </c>
      <c r="I106" s="31"/>
      <c r="J106" s="29" t="s">
        <v>228</v>
      </c>
    </row>
    <row r="107" customFormat="false" ht="18" hidden="false" customHeight="true" outlineLevel="0" collapsed="false">
      <c r="A107" s="22" t="n">
        <v>105</v>
      </c>
      <c r="B107" s="41" t="s">
        <v>18</v>
      </c>
      <c r="C107" s="24" t="s">
        <v>437</v>
      </c>
      <c r="D107" s="25" t="s">
        <v>29</v>
      </c>
      <c r="E107" s="24" t="s">
        <v>438</v>
      </c>
      <c r="F107" s="26" t="s">
        <v>439</v>
      </c>
      <c r="G107" s="26" t="s">
        <v>440</v>
      </c>
      <c r="H107" s="42" t="s">
        <v>11</v>
      </c>
      <c r="I107" s="26"/>
      <c r="J107" s="24"/>
    </row>
    <row r="108" customFormat="false" ht="18" hidden="false" customHeight="true" outlineLevel="0" collapsed="false">
      <c r="A108" s="28" t="n">
        <v>106</v>
      </c>
      <c r="B108" s="41" t="s">
        <v>18</v>
      </c>
      <c r="C108" s="29" t="s">
        <v>441</v>
      </c>
      <c r="D108" s="30" t="s">
        <v>29</v>
      </c>
      <c r="E108" s="29" t="s">
        <v>442</v>
      </c>
      <c r="F108" s="31" t="s">
        <v>443</v>
      </c>
      <c r="G108" s="31" t="s">
        <v>440</v>
      </c>
      <c r="H108" s="42" t="s">
        <v>11</v>
      </c>
      <c r="I108" s="31"/>
      <c r="J108" s="29"/>
    </row>
    <row r="109" customFormat="false" ht="18" hidden="false" customHeight="true" outlineLevel="0" collapsed="false">
      <c r="A109" s="22" t="n">
        <v>107</v>
      </c>
      <c r="B109" s="41" t="s">
        <v>18</v>
      </c>
      <c r="C109" s="24" t="s">
        <v>444</v>
      </c>
      <c r="D109" s="25" t="s">
        <v>29</v>
      </c>
      <c r="E109" s="24" t="s">
        <v>445</v>
      </c>
      <c r="F109" s="26" t="s">
        <v>446</v>
      </c>
      <c r="G109" s="26" t="s">
        <v>447</v>
      </c>
      <c r="H109" s="42" t="s">
        <v>11</v>
      </c>
      <c r="I109" s="26"/>
      <c r="J109" s="24"/>
    </row>
    <row r="110" customFormat="false" ht="18" hidden="false" customHeight="true" outlineLevel="0" collapsed="false">
      <c r="A110" s="28" t="n">
        <v>108</v>
      </c>
      <c r="B110" s="41" t="s">
        <v>18</v>
      </c>
      <c r="C110" s="29" t="s">
        <v>448</v>
      </c>
      <c r="D110" s="30" t="s">
        <v>29</v>
      </c>
      <c r="E110" s="29" t="s">
        <v>449</v>
      </c>
      <c r="F110" s="31" t="s">
        <v>450</v>
      </c>
      <c r="G110" s="31" t="s">
        <v>451</v>
      </c>
      <c r="H110" s="42" t="s">
        <v>11</v>
      </c>
      <c r="I110" s="31"/>
      <c r="J110" s="29"/>
    </row>
    <row r="111" customFormat="false" ht="18" hidden="false" customHeight="true" outlineLevel="0" collapsed="false">
      <c r="A111" s="22" t="n">
        <v>109</v>
      </c>
      <c r="B111" s="41" t="s">
        <v>18</v>
      </c>
      <c r="C111" s="24" t="s">
        <v>452</v>
      </c>
      <c r="D111" s="25" t="s">
        <v>29</v>
      </c>
      <c r="E111" s="24" t="s">
        <v>453</v>
      </c>
      <c r="F111" s="26" t="s">
        <v>454</v>
      </c>
      <c r="G111" s="26" t="s">
        <v>455</v>
      </c>
      <c r="H111" s="42" t="s">
        <v>11</v>
      </c>
      <c r="I111" s="26"/>
      <c r="J111" s="24"/>
    </row>
    <row r="112" customFormat="false" ht="18" hidden="false" customHeight="true" outlineLevel="0" collapsed="false">
      <c r="A112" s="28" t="n">
        <v>110</v>
      </c>
      <c r="B112" s="41" t="s">
        <v>18</v>
      </c>
      <c r="C112" s="29" t="s">
        <v>456</v>
      </c>
      <c r="D112" s="30" t="s">
        <v>29</v>
      </c>
      <c r="E112" s="29" t="s">
        <v>453</v>
      </c>
      <c r="F112" s="31" t="s">
        <v>457</v>
      </c>
      <c r="G112" s="31" t="s">
        <v>458</v>
      </c>
      <c r="H112" s="42" t="s">
        <v>11</v>
      </c>
      <c r="I112" s="31"/>
      <c r="J112" s="29"/>
    </row>
    <row r="113" customFormat="false" ht="18" hidden="false" customHeight="true" outlineLevel="0" collapsed="false">
      <c r="A113" s="22" t="n">
        <v>111</v>
      </c>
      <c r="B113" s="41" t="s">
        <v>18</v>
      </c>
      <c r="C113" s="24" t="s">
        <v>459</v>
      </c>
      <c r="D113" s="25" t="s">
        <v>29</v>
      </c>
      <c r="E113" s="24" t="s">
        <v>453</v>
      </c>
      <c r="F113" s="26" t="s">
        <v>460</v>
      </c>
      <c r="G113" s="26" t="s">
        <v>458</v>
      </c>
      <c r="H113" s="42" t="s">
        <v>11</v>
      </c>
      <c r="I113" s="26"/>
      <c r="J113" s="24"/>
    </row>
    <row r="114" customFormat="false" ht="18" hidden="false" customHeight="true" outlineLevel="0" collapsed="false">
      <c r="A114" s="28" t="n">
        <v>112</v>
      </c>
      <c r="B114" s="41" t="s">
        <v>18</v>
      </c>
      <c r="C114" s="29" t="s">
        <v>461</v>
      </c>
      <c r="D114" s="30" t="s">
        <v>29</v>
      </c>
      <c r="E114" s="29" t="s">
        <v>462</v>
      </c>
      <c r="F114" s="31" t="s">
        <v>463</v>
      </c>
      <c r="G114" s="31" t="s">
        <v>464</v>
      </c>
      <c r="H114" s="42" t="s">
        <v>11</v>
      </c>
      <c r="I114" s="31"/>
      <c r="J114" s="29"/>
    </row>
    <row r="115" customFormat="false" ht="18" hidden="false" customHeight="true" outlineLevel="0" collapsed="false">
      <c r="A115" s="22" t="n">
        <v>113</v>
      </c>
      <c r="B115" s="41" t="s">
        <v>18</v>
      </c>
      <c r="C115" s="24" t="s">
        <v>465</v>
      </c>
      <c r="D115" s="25" t="s">
        <v>29</v>
      </c>
      <c r="E115" s="24" t="s">
        <v>466</v>
      </c>
      <c r="F115" s="26" t="s">
        <v>467</v>
      </c>
      <c r="G115" s="26" t="s">
        <v>464</v>
      </c>
      <c r="H115" s="42" t="s">
        <v>11</v>
      </c>
      <c r="I115" s="26"/>
      <c r="J115" s="24"/>
    </row>
    <row r="116" customFormat="false" ht="18" hidden="false" customHeight="true" outlineLevel="0" collapsed="false">
      <c r="A116" s="28" t="n">
        <v>114</v>
      </c>
      <c r="B116" s="41" t="s">
        <v>18</v>
      </c>
      <c r="C116" s="29" t="s">
        <v>468</v>
      </c>
      <c r="D116" s="30" t="s">
        <v>29</v>
      </c>
      <c r="E116" s="29" t="s">
        <v>466</v>
      </c>
      <c r="F116" s="31" t="s">
        <v>469</v>
      </c>
      <c r="G116" s="31" t="s">
        <v>464</v>
      </c>
      <c r="H116" s="42" t="s">
        <v>11</v>
      </c>
      <c r="I116" s="31"/>
      <c r="J116" s="29"/>
    </row>
    <row r="117" customFormat="false" ht="18" hidden="false" customHeight="true" outlineLevel="0" collapsed="false">
      <c r="A117" s="22" t="n">
        <v>115</v>
      </c>
      <c r="B117" s="41" t="s">
        <v>18</v>
      </c>
      <c r="C117" s="24" t="s">
        <v>470</v>
      </c>
      <c r="D117" s="25" t="s">
        <v>33</v>
      </c>
      <c r="E117" s="24" t="s">
        <v>471</v>
      </c>
      <c r="F117" s="26" t="s">
        <v>472</v>
      </c>
      <c r="G117" s="26" t="s">
        <v>473</v>
      </c>
      <c r="H117" s="42" t="s">
        <v>11</v>
      </c>
      <c r="I117" s="26"/>
      <c r="J117" s="24"/>
    </row>
    <row r="118" customFormat="false" ht="18" hidden="false" customHeight="true" outlineLevel="0" collapsed="false">
      <c r="A118" s="28" t="n">
        <v>116</v>
      </c>
      <c r="B118" s="41" t="s">
        <v>18</v>
      </c>
      <c r="C118" s="29" t="s">
        <v>474</v>
      </c>
      <c r="D118" s="30" t="s">
        <v>25</v>
      </c>
      <c r="E118" s="29" t="s">
        <v>475</v>
      </c>
      <c r="F118" s="31" t="s">
        <v>476</v>
      </c>
      <c r="G118" s="31" t="s">
        <v>440</v>
      </c>
      <c r="H118" s="42" t="s">
        <v>11</v>
      </c>
      <c r="I118" s="31"/>
      <c r="J118" s="29"/>
    </row>
    <row r="119" customFormat="false" ht="18" hidden="false" customHeight="true" outlineLevel="0" collapsed="false">
      <c r="A119" s="22" t="n">
        <v>117</v>
      </c>
      <c r="B119" s="41" t="s">
        <v>18</v>
      </c>
      <c r="C119" s="24" t="s">
        <v>477</v>
      </c>
      <c r="D119" s="25" t="s">
        <v>25</v>
      </c>
      <c r="E119" s="24" t="s">
        <v>478</v>
      </c>
      <c r="F119" s="26" t="s">
        <v>479</v>
      </c>
      <c r="G119" s="26" t="s">
        <v>440</v>
      </c>
      <c r="H119" s="42" t="s">
        <v>11</v>
      </c>
      <c r="I119" s="26"/>
      <c r="J119" s="24"/>
    </row>
    <row r="120" customFormat="false" ht="18" hidden="false" customHeight="true" outlineLevel="0" collapsed="false">
      <c r="A120" s="28" t="n">
        <v>118</v>
      </c>
      <c r="B120" s="41" t="s">
        <v>18</v>
      </c>
      <c r="C120" s="29" t="s">
        <v>480</v>
      </c>
      <c r="D120" s="30" t="s">
        <v>25</v>
      </c>
      <c r="E120" s="29" t="s">
        <v>481</v>
      </c>
      <c r="F120" s="31" t="s">
        <v>482</v>
      </c>
      <c r="G120" s="31" t="s">
        <v>483</v>
      </c>
      <c r="H120" s="42" t="s">
        <v>11</v>
      </c>
      <c r="I120" s="31"/>
      <c r="J120" s="29"/>
    </row>
    <row r="121" customFormat="false" ht="18" hidden="false" customHeight="true" outlineLevel="0" collapsed="false">
      <c r="A121" s="22" t="n">
        <v>119</v>
      </c>
      <c r="B121" s="41" t="s">
        <v>18</v>
      </c>
      <c r="C121" s="24" t="s">
        <v>484</v>
      </c>
      <c r="D121" s="25" t="s">
        <v>25</v>
      </c>
      <c r="E121" s="24" t="s">
        <v>485</v>
      </c>
      <c r="F121" s="26" t="s">
        <v>486</v>
      </c>
      <c r="G121" s="26" t="s">
        <v>447</v>
      </c>
      <c r="H121" s="42" t="s">
        <v>11</v>
      </c>
      <c r="I121" s="26"/>
      <c r="J121" s="24"/>
    </row>
    <row r="122" customFormat="false" ht="18" hidden="false" customHeight="true" outlineLevel="0" collapsed="false">
      <c r="A122" s="28" t="n">
        <v>120</v>
      </c>
      <c r="B122" s="41" t="s">
        <v>18</v>
      </c>
      <c r="C122" s="29" t="s">
        <v>487</v>
      </c>
      <c r="D122" s="30" t="s">
        <v>25</v>
      </c>
      <c r="E122" s="29" t="s">
        <v>488</v>
      </c>
      <c r="F122" s="31" t="s">
        <v>489</v>
      </c>
      <c r="G122" s="31" t="s">
        <v>490</v>
      </c>
      <c r="H122" s="42" t="s">
        <v>11</v>
      </c>
      <c r="I122" s="31"/>
      <c r="J122" s="29"/>
    </row>
    <row r="123" customFormat="false" ht="18" hidden="false" customHeight="true" outlineLevel="0" collapsed="false">
      <c r="A123" s="22" t="n">
        <v>121</v>
      </c>
      <c r="B123" s="41" t="s">
        <v>18</v>
      </c>
      <c r="C123" s="24" t="s">
        <v>491</v>
      </c>
      <c r="D123" s="25" t="s">
        <v>25</v>
      </c>
      <c r="E123" s="24" t="s">
        <v>488</v>
      </c>
      <c r="F123" s="26" t="s">
        <v>492</v>
      </c>
      <c r="G123" s="26" t="s">
        <v>490</v>
      </c>
      <c r="H123" s="42" t="s">
        <v>11</v>
      </c>
      <c r="I123" s="26"/>
      <c r="J123" s="24"/>
    </row>
    <row r="124" customFormat="false" ht="18" hidden="false" customHeight="true" outlineLevel="0" collapsed="false">
      <c r="A124" s="28" t="n">
        <v>122</v>
      </c>
      <c r="B124" s="41" t="s">
        <v>18</v>
      </c>
      <c r="C124" s="29" t="s">
        <v>493</v>
      </c>
      <c r="D124" s="30" t="s">
        <v>25</v>
      </c>
      <c r="E124" s="29" t="s">
        <v>494</v>
      </c>
      <c r="F124" s="31" t="s">
        <v>495</v>
      </c>
      <c r="G124" s="31" t="s">
        <v>496</v>
      </c>
      <c r="H124" s="42" t="s">
        <v>11</v>
      </c>
      <c r="I124" s="31"/>
      <c r="J124" s="29"/>
    </row>
    <row r="125" customFormat="false" ht="18" hidden="false" customHeight="true" outlineLevel="0" collapsed="false">
      <c r="A125" s="22" t="n">
        <v>123</v>
      </c>
      <c r="B125" s="41" t="s">
        <v>18</v>
      </c>
      <c r="C125" s="24" t="s">
        <v>497</v>
      </c>
      <c r="D125" s="25" t="s">
        <v>25</v>
      </c>
      <c r="E125" s="24" t="s">
        <v>498</v>
      </c>
      <c r="F125" s="26" t="s">
        <v>499</v>
      </c>
      <c r="G125" s="26" t="s">
        <v>496</v>
      </c>
      <c r="H125" s="42" t="s">
        <v>11</v>
      </c>
      <c r="I125" s="26"/>
      <c r="J125" s="24"/>
    </row>
    <row r="126" customFormat="false" ht="18" hidden="false" customHeight="true" outlineLevel="0" collapsed="false">
      <c r="A126" s="28" t="n">
        <v>124</v>
      </c>
      <c r="B126" s="41" t="s">
        <v>18</v>
      </c>
      <c r="C126" s="29" t="s">
        <v>500</v>
      </c>
      <c r="D126" s="30" t="s">
        <v>25</v>
      </c>
      <c r="E126" s="29" t="s">
        <v>501</v>
      </c>
      <c r="F126" s="31" t="s">
        <v>502</v>
      </c>
      <c r="G126" s="31" t="s">
        <v>496</v>
      </c>
      <c r="H126" s="42" t="s">
        <v>11</v>
      </c>
      <c r="I126" s="31"/>
      <c r="J126" s="29"/>
    </row>
    <row r="127" customFormat="false" ht="18" hidden="false" customHeight="true" outlineLevel="0" collapsed="false">
      <c r="A127" s="22" t="n">
        <v>125</v>
      </c>
      <c r="B127" s="41" t="s">
        <v>18</v>
      </c>
      <c r="C127" s="24" t="s">
        <v>503</v>
      </c>
      <c r="D127" s="25" t="s">
        <v>25</v>
      </c>
      <c r="E127" s="24" t="s">
        <v>504</v>
      </c>
      <c r="F127" s="26" t="s">
        <v>505</v>
      </c>
      <c r="G127" s="26" t="s">
        <v>506</v>
      </c>
      <c r="H127" s="42" t="s">
        <v>11</v>
      </c>
      <c r="I127" s="26"/>
      <c r="J127" s="24"/>
    </row>
    <row r="128" customFormat="false" ht="18" hidden="false" customHeight="true" outlineLevel="0" collapsed="false">
      <c r="A128" s="28" t="n">
        <v>126</v>
      </c>
      <c r="B128" s="41" t="s">
        <v>18</v>
      </c>
      <c r="C128" s="29" t="s">
        <v>507</v>
      </c>
      <c r="D128" s="30" t="s">
        <v>25</v>
      </c>
      <c r="E128" s="29" t="s">
        <v>508</v>
      </c>
      <c r="F128" s="31" t="s">
        <v>509</v>
      </c>
      <c r="G128" s="31" t="s">
        <v>510</v>
      </c>
      <c r="H128" s="42" t="s">
        <v>11</v>
      </c>
      <c r="I128" s="31"/>
      <c r="J128" s="29"/>
    </row>
    <row r="129" customFormat="false" ht="18" hidden="false" customHeight="true" outlineLevel="0" collapsed="false">
      <c r="A129" s="22" t="n">
        <v>127</v>
      </c>
      <c r="B129" s="41" t="s">
        <v>18</v>
      </c>
      <c r="C129" s="24" t="s">
        <v>511</v>
      </c>
      <c r="D129" s="25" t="s">
        <v>52</v>
      </c>
      <c r="E129" s="24" t="s">
        <v>512</v>
      </c>
      <c r="F129" s="26" t="s">
        <v>513</v>
      </c>
      <c r="G129" s="26" t="s">
        <v>153</v>
      </c>
      <c r="H129" s="27" t="s">
        <v>43</v>
      </c>
      <c r="I129" s="26"/>
      <c r="J129" s="24"/>
    </row>
    <row r="130" customFormat="false" ht="18" hidden="false" customHeight="true" outlineLevel="0" collapsed="false">
      <c r="A130" s="28" t="n">
        <v>128</v>
      </c>
      <c r="B130" s="41" t="s">
        <v>18</v>
      </c>
      <c r="C130" s="29" t="s">
        <v>511</v>
      </c>
      <c r="D130" s="30" t="s">
        <v>52</v>
      </c>
      <c r="E130" s="29" t="s">
        <v>512</v>
      </c>
      <c r="F130" s="31" t="s">
        <v>514</v>
      </c>
      <c r="G130" s="31" t="s">
        <v>161</v>
      </c>
      <c r="H130" s="32" t="s">
        <v>31</v>
      </c>
      <c r="I130" s="31"/>
      <c r="J130" s="29"/>
    </row>
    <row r="131" customFormat="false" ht="18" hidden="false" customHeight="true" outlineLevel="0" collapsed="false">
      <c r="A131" s="22" t="n">
        <v>129</v>
      </c>
      <c r="B131" s="41" t="s">
        <v>18</v>
      </c>
      <c r="C131" s="24" t="s">
        <v>515</v>
      </c>
      <c r="D131" s="25" t="s">
        <v>45</v>
      </c>
      <c r="E131" s="24" t="s">
        <v>516</v>
      </c>
      <c r="F131" s="26" t="s">
        <v>517</v>
      </c>
      <c r="G131" s="26" t="s">
        <v>518</v>
      </c>
      <c r="H131" s="42" t="s">
        <v>11</v>
      </c>
      <c r="I131" s="26"/>
      <c r="J131" s="24"/>
    </row>
    <row r="132" customFormat="false" ht="18" hidden="false" customHeight="true" outlineLevel="0" collapsed="false">
      <c r="A132" s="28" t="n">
        <v>130</v>
      </c>
      <c r="B132" s="41" t="s">
        <v>18</v>
      </c>
      <c r="C132" s="29" t="s">
        <v>519</v>
      </c>
      <c r="D132" s="30" t="s">
        <v>45</v>
      </c>
      <c r="E132" s="29" t="s">
        <v>520</v>
      </c>
      <c r="F132" s="31" t="s">
        <v>521</v>
      </c>
      <c r="G132" s="31" t="s">
        <v>518</v>
      </c>
      <c r="H132" s="42" t="s">
        <v>11</v>
      </c>
      <c r="I132" s="31"/>
      <c r="J132" s="29"/>
    </row>
    <row r="133" customFormat="false" ht="18" hidden="false" customHeight="true" outlineLevel="0" collapsed="false">
      <c r="A133" s="22" t="n">
        <v>131</v>
      </c>
      <c r="B133" s="41" t="s">
        <v>18</v>
      </c>
      <c r="C133" s="24" t="s">
        <v>522</v>
      </c>
      <c r="D133" s="25" t="s">
        <v>45</v>
      </c>
      <c r="E133" s="24" t="s">
        <v>523</v>
      </c>
      <c r="F133" s="26" t="s">
        <v>524</v>
      </c>
      <c r="G133" s="26" t="s">
        <v>525</v>
      </c>
      <c r="H133" s="42" t="s">
        <v>11</v>
      </c>
      <c r="I133" s="26"/>
      <c r="J133" s="24"/>
    </row>
    <row r="134" customFormat="false" ht="18" hidden="false" customHeight="true" outlineLevel="0" collapsed="false">
      <c r="A134" s="28" t="n">
        <v>132</v>
      </c>
      <c r="B134" s="41" t="s">
        <v>18</v>
      </c>
      <c r="C134" s="29" t="s">
        <v>526</v>
      </c>
      <c r="D134" s="30" t="s">
        <v>45</v>
      </c>
      <c r="E134" s="29" t="s">
        <v>527</v>
      </c>
      <c r="F134" s="31" t="s">
        <v>528</v>
      </c>
      <c r="G134" s="31" t="s">
        <v>529</v>
      </c>
      <c r="H134" s="42" t="s">
        <v>11</v>
      </c>
      <c r="I134" s="31"/>
      <c r="J134" s="29"/>
    </row>
    <row r="135" customFormat="false" ht="18" hidden="false" customHeight="true" outlineLevel="0" collapsed="false">
      <c r="A135" s="22" t="n">
        <v>133</v>
      </c>
      <c r="B135" s="41" t="s">
        <v>18</v>
      </c>
      <c r="C135" s="24" t="s">
        <v>530</v>
      </c>
      <c r="D135" s="25" t="s">
        <v>45</v>
      </c>
      <c r="E135" s="24" t="s">
        <v>531</v>
      </c>
      <c r="F135" s="26" t="s">
        <v>532</v>
      </c>
      <c r="G135" s="26" t="s">
        <v>533</v>
      </c>
      <c r="H135" s="42" t="s">
        <v>11</v>
      </c>
      <c r="I135" s="26"/>
      <c r="J135" s="24"/>
    </row>
    <row r="136" customFormat="false" ht="18" hidden="false" customHeight="true" outlineLevel="0" collapsed="false">
      <c r="A136" s="28" t="n">
        <v>134</v>
      </c>
      <c r="B136" s="41" t="s">
        <v>18</v>
      </c>
      <c r="C136" s="29" t="s">
        <v>534</v>
      </c>
      <c r="D136" s="30" t="s">
        <v>45</v>
      </c>
      <c r="E136" s="29" t="s">
        <v>535</v>
      </c>
      <c r="F136" s="31" t="s">
        <v>536</v>
      </c>
      <c r="G136" s="31" t="s">
        <v>537</v>
      </c>
      <c r="H136" s="42" t="s">
        <v>11</v>
      </c>
      <c r="I136" s="31"/>
      <c r="J136" s="29"/>
    </row>
    <row r="137" customFormat="false" ht="18" hidden="false" customHeight="true" outlineLevel="0" collapsed="false">
      <c r="A137" s="22" t="n">
        <v>135</v>
      </c>
      <c r="B137" s="41" t="s">
        <v>18</v>
      </c>
      <c r="C137" s="24" t="s">
        <v>538</v>
      </c>
      <c r="D137" s="25" t="s">
        <v>45</v>
      </c>
      <c r="E137" s="24" t="s">
        <v>539</v>
      </c>
      <c r="F137" s="26" t="s">
        <v>540</v>
      </c>
      <c r="G137" s="26" t="s">
        <v>537</v>
      </c>
      <c r="H137" s="42" t="s">
        <v>11</v>
      </c>
      <c r="I137" s="26"/>
      <c r="J137" s="24"/>
    </row>
    <row r="138" customFormat="false" ht="18" hidden="false" customHeight="true" outlineLevel="0" collapsed="false">
      <c r="A138" s="28" t="n">
        <v>136</v>
      </c>
      <c r="B138" s="41" t="s">
        <v>18</v>
      </c>
      <c r="C138" s="29" t="s">
        <v>541</v>
      </c>
      <c r="D138" s="30" t="s">
        <v>58</v>
      </c>
      <c r="E138" s="29" t="s">
        <v>542</v>
      </c>
      <c r="F138" s="31" t="s">
        <v>543</v>
      </c>
      <c r="G138" s="31" t="s">
        <v>544</v>
      </c>
      <c r="H138" s="42" t="s">
        <v>11</v>
      </c>
      <c r="I138" s="31"/>
      <c r="J138" s="29"/>
    </row>
    <row r="139" customFormat="false" ht="18" hidden="false" customHeight="true" outlineLevel="0" collapsed="false">
      <c r="A139" s="22" t="n">
        <v>137</v>
      </c>
      <c r="B139" s="41" t="s">
        <v>18</v>
      </c>
      <c r="C139" s="24" t="s">
        <v>545</v>
      </c>
      <c r="D139" s="25" t="s">
        <v>39</v>
      </c>
      <c r="E139" s="24" t="s">
        <v>546</v>
      </c>
      <c r="F139" s="26" t="s">
        <v>547</v>
      </c>
      <c r="G139" s="26" t="s">
        <v>548</v>
      </c>
      <c r="H139" s="42" t="s">
        <v>11</v>
      </c>
      <c r="I139" s="26"/>
      <c r="J139" s="24"/>
    </row>
    <row r="140" customFormat="false" ht="18" hidden="false" customHeight="true" outlineLevel="0" collapsed="false">
      <c r="A140" s="28" t="n">
        <v>138</v>
      </c>
      <c r="B140" s="41" t="s">
        <v>18</v>
      </c>
      <c r="C140" s="29" t="s">
        <v>549</v>
      </c>
      <c r="D140" s="30" t="s">
        <v>39</v>
      </c>
      <c r="E140" s="29" t="s">
        <v>550</v>
      </c>
      <c r="F140" s="31" t="s">
        <v>551</v>
      </c>
      <c r="G140" s="31" t="s">
        <v>552</v>
      </c>
      <c r="H140" s="42" t="s">
        <v>11</v>
      </c>
      <c r="I140" s="31"/>
      <c r="J140" s="29"/>
    </row>
    <row r="141" customFormat="false" ht="18" hidden="false" customHeight="true" outlineLevel="0" collapsed="false">
      <c r="A141" s="22" t="n">
        <v>139</v>
      </c>
      <c r="B141" s="41" t="s">
        <v>18</v>
      </c>
      <c r="C141" s="24" t="s">
        <v>553</v>
      </c>
      <c r="D141" s="25" t="s">
        <v>39</v>
      </c>
      <c r="E141" s="24" t="s">
        <v>554</v>
      </c>
      <c r="F141" s="26" t="s">
        <v>555</v>
      </c>
      <c r="G141" s="26" t="s">
        <v>537</v>
      </c>
      <c r="H141" s="42" t="s">
        <v>11</v>
      </c>
      <c r="I141" s="26"/>
      <c r="J141" s="24"/>
    </row>
    <row r="142" customFormat="false" ht="18" hidden="false" customHeight="true" outlineLevel="0" collapsed="false">
      <c r="A142" s="28" t="n">
        <v>140</v>
      </c>
      <c r="B142" s="41" t="s">
        <v>18</v>
      </c>
      <c r="C142" s="29" t="s">
        <v>556</v>
      </c>
      <c r="D142" s="30" t="s">
        <v>13</v>
      </c>
      <c r="E142" s="29" t="s">
        <v>557</v>
      </c>
      <c r="F142" s="31" t="s">
        <v>558</v>
      </c>
      <c r="G142" s="31" t="s">
        <v>559</v>
      </c>
      <c r="H142" s="42" t="s">
        <v>11</v>
      </c>
      <c r="I142" s="31"/>
      <c r="J142" s="29"/>
    </row>
    <row r="143" customFormat="false" ht="18" hidden="false" customHeight="true" outlineLevel="0" collapsed="false">
      <c r="A143" s="22" t="n">
        <v>141</v>
      </c>
      <c r="B143" s="41" t="s">
        <v>18</v>
      </c>
      <c r="C143" s="24" t="s">
        <v>560</v>
      </c>
      <c r="D143" s="25" t="s">
        <v>13</v>
      </c>
      <c r="E143" s="24" t="s">
        <v>561</v>
      </c>
      <c r="F143" s="26" t="s">
        <v>562</v>
      </c>
      <c r="G143" s="26" t="s">
        <v>563</v>
      </c>
      <c r="H143" s="27" t="s">
        <v>43</v>
      </c>
      <c r="I143" s="26"/>
      <c r="J143" s="24"/>
    </row>
    <row r="144" customFormat="false" ht="18" hidden="false" customHeight="true" outlineLevel="0" collapsed="false">
      <c r="A144" s="28" t="n">
        <v>142</v>
      </c>
      <c r="B144" s="41" t="s">
        <v>18</v>
      </c>
      <c r="C144" s="29" t="s">
        <v>564</v>
      </c>
      <c r="D144" s="30" t="s">
        <v>13</v>
      </c>
      <c r="E144" s="29" t="s">
        <v>565</v>
      </c>
      <c r="F144" s="31" t="s">
        <v>566</v>
      </c>
      <c r="G144" s="31" t="s">
        <v>567</v>
      </c>
      <c r="H144" s="42" t="s">
        <v>11</v>
      </c>
      <c r="I144" s="31"/>
      <c r="J144" s="29"/>
    </row>
    <row r="145" customFormat="false" ht="18" hidden="false" customHeight="true" outlineLevel="0" collapsed="false">
      <c r="A145" s="22" t="n">
        <v>143</v>
      </c>
      <c r="B145" s="41" t="s">
        <v>18</v>
      </c>
      <c r="C145" s="24" t="s">
        <v>568</v>
      </c>
      <c r="D145" s="25" t="s">
        <v>13</v>
      </c>
      <c r="E145" s="24" t="s">
        <v>569</v>
      </c>
      <c r="F145" s="26" t="s">
        <v>570</v>
      </c>
      <c r="G145" s="26" t="s">
        <v>567</v>
      </c>
      <c r="H145" s="42" t="s">
        <v>11</v>
      </c>
      <c r="I145" s="26"/>
      <c r="J145" s="24"/>
    </row>
    <row r="146" customFormat="false" ht="18" hidden="false" customHeight="true" outlineLevel="0" collapsed="false">
      <c r="A146" s="28" t="n">
        <v>144</v>
      </c>
      <c r="B146" s="41" t="s">
        <v>18</v>
      </c>
      <c r="C146" s="29" t="s">
        <v>571</v>
      </c>
      <c r="D146" s="30" t="s">
        <v>13</v>
      </c>
      <c r="E146" s="29" t="s">
        <v>572</v>
      </c>
      <c r="F146" s="31" t="s">
        <v>573</v>
      </c>
      <c r="G146" s="31" t="s">
        <v>567</v>
      </c>
      <c r="H146" s="42" t="s">
        <v>11</v>
      </c>
      <c r="I146" s="31"/>
      <c r="J146" s="29"/>
    </row>
    <row r="147" customFormat="false" ht="18" hidden="false" customHeight="true" outlineLevel="0" collapsed="false">
      <c r="A147" s="22" t="n">
        <v>145</v>
      </c>
      <c r="B147" s="41" t="s">
        <v>18</v>
      </c>
      <c r="C147" s="24" t="s">
        <v>574</v>
      </c>
      <c r="D147" s="25" t="s">
        <v>13</v>
      </c>
      <c r="E147" s="24" t="s">
        <v>561</v>
      </c>
      <c r="F147" s="26" t="s">
        <v>575</v>
      </c>
      <c r="G147" s="26" t="s">
        <v>153</v>
      </c>
      <c r="H147" s="27" t="s">
        <v>43</v>
      </c>
      <c r="I147" s="26"/>
      <c r="J147" s="24"/>
    </row>
    <row r="148" customFormat="false" ht="18" hidden="false" customHeight="true" outlineLevel="0" collapsed="false">
      <c r="A148" s="28" t="n">
        <v>146</v>
      </c>
      <c r="B148" s="41" t="s">
        <v>18</v>
      </c>
      <c r="C148" s="29" t="s">
        <v>576</v>
      </c>
      <c r="D148" s="30" t="s">
        <v>13</v>
      </c>
      <c r="E148" s="29" t="s">
        <v>577</v>
      </c>
      <c r="F148" s="31" t="s">
        <v>578</v>
      </c>
      <c r="G148" s="31" t="s">
        <v>579</v>
      </c>
      <c r="H148" s="42" t="s">
        <v>11</v>
      </c>
      <c r="I148" s="31"/>
      <c r="J148" s="29"/>
    </row>
    <row r="149" customFormat="false" ht="18" hidden="false" customHeight="true" outlineLevel="0" collapsed="false">
      <c r="A149" s="22" t="n">
        <v>147</v>
      </c>
      <c r="B149" s="41" t="s">
        <v>18</v>
      </c>
      <c r="C149" s="24" t="s">
        <v>580</v>
      </c>
      <c r="D149" s="25" t="s">
        <v>13</v>
      </c>
      <c r="E149" s="24" t="s">
        <v>581</v>
      </c>
      <c r="F149" s="26" t="s">
        <v>582</v>
      </c>
      <c r="G149" s="26" t="s">
        <v>579</v>
      </c>
      <c r="H149" s="42" t="s">
        <v>11</v>
      </c>
      <c r="I149" s="26"/>
      <c r="J149" s="24"/>
    </row>
    <row r="150" customFormat="false" ht="18" hidden="false" customHeight="true" outlineLevel="0" collapsed="false">
      <c r="A150" s="28" t="n">
        <v>148</v>
      </c>
      <c r="B150" s="41" t="s">
        <v>18</v>
      </c>
      <c r="C150" s="29" t="s">
        <v>583</v>
      </c>
      <c r="D150" s="30" t="s">
        <v>13</v>
      </c>
      <c r="E150" s="29" t="s">
        <v>584</v>
      </c>
      <c r="F150" s="31" t="s">
        <v>585</v>
      </c>
      <c r="G150" s="31" t="s">
        <v>579</v>
      </c>
      <c r="H150" s="42" t="s">
        <v>11</v>
      </c>
      <c r="I150" s="31"/>
      <c r="J150" s="29"/>
    </row>
    <row r="151" customFormat="false" ht="18" hidden="false" customHeight="true" outlineLevel="0" collapsed="false">
      <c r="A151" s="22" t="n">
        <v>149</v>
      </c>
      <c r="B151" s="41" t="s">
        <v>18</v>
      </c>
      <c r="C151" s="24" t="s">
        <v>586</v>
      </c>
      <c r="D151" s="25" t="s">
        <v>13</v>
      </c>
      <c r="E151" s="24" t="s">
        <v>587</v>
      </c>
      <c r="F151" s="26" t="s">
        <v>588</v>
      </c>
      <c r="G151" s="26" t="s">
        <v>579</v>
      </c>
      <c r="H151" s="42" t="s">
        <v>11</v>
      </c>
      <c r="I151" s="26"/>
      <c r="J151" s="24"/>
    </row>
    <row r="152" customFormat="false" ht="18" hidden="false" customHeight="true" outlineLevel="0" collapsed="false">
      <c r="A152" s="28" t="n">
        <v>150</v>
      </c>
      <c r="B152" s="41" t="s">
        <v>18</v>
      </c>
      <c r="C152" s="29" t="s">
        <v>589</v>
      </c>
      <c r="D152" s="30" t="s">
        <v>13</v>
      </c>
      <c r="E152" s="29" t="s">
        <v>590</v>
      </c>
      <c r="F152" s="31" t="s">
        <v>591</v>
      </c>
      <c r="G152" s="31" t="s">
        <v>579</v>
      </c>
      <c r="H152" s="42" t="s">
        <v>11</v>
      </c>
      <c r="I152" s="31"/>
      <c r="J152" s="29"/>
    </row>
    <row r="153" customFormat="false" ht="18" hidden="false" customHeight="true" outlineLevel="0" collapsed="false">
      <c r="A153" s="22" t="n">
        <v>151</v>
      </c>
      <c r="B153" s="41" t="s">
        <v>18</v>
      </c>
      <c r="C153" s="24" t="s">
        <v>574</v>
      </c>
      <c r="D153" s="25" t="s">
        <v>13</v>
      </c>
      <c r="E153" s="24" t="s">
        <v>561</v>
      </c>
      <c r="F153" s="26" t="s">
        <v>592</v>
      </c>
      <c r="G153" s="26" t="s">
        <v>161</v>
      </c>
      <c r="H153" s="32" t="s">
        <v>31</v>
      </c>
      <c r="I153" s="26"/>
      <c r="J153" s="24"/>
    </row>
    <row r="154" customFormat="false" ht="18" hidden="false" customHeight="true" outlineLevel="0" collapsed="false">
      <c r="A154" s="28" t="n">
        <v>152</v>
      </c>
      <c r="B154" s="41" t="s">
        <v>18</v>
      </c>
      <c r="C154" s="29" t="s">
        <v>593</v>
      </c>
      <c r="D154" s="30" t="s">
        <v>13</v>
      </c>
      <c r="E154" s="29" t="s">
        <v>594</v>
      </c>
      <c r="F154" s="31" t="s">
        <v>595</v>
      </c>
      <c r="G154" s="31" t="s">
        <v>596</v>
      </c>
      <c r="H154" s="42" t="s">
        <v>11</v>
      </c>
      <c r="I154" s="31"/>
      <c r="J154" s="29"/>
    </row>
    <row r="155" customFormat="false" ht="18" hidden="false" customHeight="true" outlineLevel="0" collapsed="false">
      <c r="A155" s="22" t="n">
        <v>153</v>
      </c>
      <c r="B155" s="41" t="s">
        <v>18</v>
      </c>
      <c r="C155" s="24" t="s">
        <v>597</v>
      </c>
      <c r="D155" s="25" t="s">
        <v>13</v>
      </c>
      <c r="E155" s="24" t="s">
        <v>598</v>
      </c>
      <c r="F155" s="26" t="s">
        <v>599</v>
      </c>
      <c r="G155" s="26" t="s">
        <v>600</v>
      </c>
      <c r="H155" s="42" t="s">
        <v>11</v>
      </c>
      <c r="I155" s="26"/>
      <c r="J155" s="24"/>
    </row>
    <row r="156" customFormat="false" ht="18" hidden="false" customHeight="true" outlineLevel="0" collapsed="false">
      <c r="A156" s="28" t="n">
        <v>154</v>
      </c>
      <c r="B156" s="41" t="s">
        <v>18</v>
      </c>
      <c r="C156" s="29" t="s">
        <v>601</v>
      </c>
      <c r="D156" s="30" t="s">
        <v>13</v>
      </c>
      <c r="E156" s="29" t="s">
        <v>602</v>
      </c>
      <c r="F156" s="31" t="s">
        <v>603</v>
      </c>
      <c r="G156" s="31" t="s">
        <v>537</v>
      </c>
      <c r="H156" s="42" t="s">
        <v>11</v>
      </c>
      <c r="I156" s="31"/>
      <c r="J156" s="29"/>
    </row>
    <row r="157" customFormat="false" ht="18" hidden="false" customHeight="true" outlineLevel="0" collapsed="false">
      <c r="A157" s="22" t="n">
        <v>155</v>
      </c>
      <c r="B157" s="41" t="s">
        <v>18</v>
      </c>
      <c r="C157" s="24" t="s">
        <v>604</v>
      </c>
      <c r="D157" s="25" t="s">
        <v>13</v>
      </c>
      <c r="E157" s="24" t="s">
        <v>605</v>
      </c>
      <c r="F157" s="26" t="s">
        <v>606</v>
      </c>
      <c r="G157" s="26" t="s">
        <v>607</v>
      </c>
      <c r="H157" s="42" t="s">
        <v>11</v>
      </c>
      <c r="I157" s="26"/>
      <c r="J157" s="24"/>
    </row>
    <row r="158" customFormat="false" ht="18" hidden="false" customHeight="true" outlineLevel="0" collapsed="false">
      <c r="A158" s="28" t="n">
        <v>156</v>
      </c>
      <c r="B158" s="41" t="s">
        <v>18</v>
      </c>
      <c r="C158" s="29" t="s">
        <v>608</v>
      </c>
      <c r="D158" s="30" t="s">
        <v>13</v>
      </c>
      <c r="E158" s="29" t="s">
        <v>609</v>
      </c>
      <c r="F158" s="31" t="s">
        <v>610</v>
      </c>
      <c r="G158" s="31" t="s">
        <v>607</v>
      </c>
      <c r="H158" s="42" t="s">
        <v>11</v>
      </c>
      <c r="I158" s="31"/>
      <c r="J158" s="29"/>
    </row>
    <row r="159" customFormat="false" ht="18" hidden="false" customHeight="true" outlineLevel="0" collapsed="false">
      <c r="A159" s="22" t="n">
        <v>157</v>
      </c>
      <c r="B159" s="41" t="s">
        <v>18</v>
      </c>
      <c r="C159" s="24" t="s">
        <v>611</v>
      </c>
      <c r="D159" s="25" t="s">
        <v>612</v>
      </c>
      <c r="E159" s="24" t="s">
        <v>613</v>
      </c>
      <c r="F159" s="26" t="s">
        <v>614</v>
      </c>
      <c r="G159" s="26" t="s">
        <v>615</v>
      </c>
      <c r="H159" s="42" t="s">
        <v>11</v>
      </c>
      <c r="I159" s="26"/>
      <c r="J159" s="24"/>
    </row>
    <row r="160" customFormat="false" ht="18" hidden="false" customHeight="true" outlineLevel="0" collapsed="false">
      <c r="A160" s="28" t="n">
        <v>158</v>
      </c>
      <c r="B160" s="41" t="s">
        <v>18</v>
      </c>
      <c r="C160" s="29" t="s">
        <v>616</v>
      </c>
      <c r="D160" s="30" t="s">
        <v>60</v>
      </c>
      <c r="E160" s="29" t="s">
        <v>617</v>
      </c>
      <c r="F160" s="31" t="s">
        <v>618</v>
      </c>
      <c r="G160" s="31" t="s">
        <v>619</v>
      </c>
      <c r="H160" s="32" t="s">
        <v>31</v>
      </c>
      <c r="I160" s="31"/>
      <c r="J160" s="29"/>
    </row>
    <row r="161" customFormat="false" ht="18" hidden="false" customHeight="true" outlineLevel="0" collapsed="false">
      <c r="A161" s="22" t="n">
        <v>159</v>
      </c>
      <c r="B161" s="41" t="s">
        <v>18</v>
      </c>
      <c r="C161" s="24" t="s">
        <v>620</v>
      </c>
      <c r="D161" s="25" t="s">
        <v>60</v>
      </c>
      <c r="E161" s="24" t="s">
        <v>621</v>
      </c>
      <c r="F161" s="26" t="s">
        <v>622</v>
      </c>
      <c r="G161" s="26" t="s">
        <v>440</v>
      </c>
      <c r="H161" s="42" t="s">
        <v>11</v>
      </c>
      <c r="I161" s="26"/>
      <c r="J161" s="24"/>
    </row>
    <row r="162" customFormat="false" ht="18" hidden="false" customHeight="true" outlineLevel="0" collapsed="false">
      <c r="A162" s="28" t="n">
        <v>160</v>
      </c>
      <c r="B162" s="41" t="s">
        <v>18</v>
      </c>
      <c r="C162" s="29" t="s">
        <v>623</v>
      </c>
      <c r="D162" s="30" t="s">
        <v>60</v>
      </c>
      <c r="E162" s="29" t="s">
        <v>624</v>
      </c>
      <c r="F162" s="31" t="s">
        <v>625</v>
      </c>
      <c r="G162" s="31" t="s">
        <v>447</v>
      </c>
      <c r="H162" s="42" t="s">
        <v>11</v>
      </c>
      <c r="I162" s="31"/>
      <c r="J162" s="29"/>
    </row>
    <row r="163" customFormat="false" ht="18" hidden="false" customHeight="true" outlineLevel="0" collapsed="false">
      <c r="A163" s="22" t="n">
        <v>161</v>
      </c>
      <c r="B163" s="41" t="s">
        <v>18</v>
      </c>
      <c r="C163" s="24" t="s">
        <v>626</v>
      </c>
      <c r="D163" s="25" t="s">
        <v>60</v>
      </c>
      <c r="E163" s="24" t="s">
        <v>627</v>
      </c>
      <c r="F163" s="26" t="s">
        <v>628</v>
      </c>
      <c r="G163" s="26" t="s">
        <v>629</v>
      </c>
      <c r="H163" s="42" t="s">
        <v>11</v>
      </c>
      <c r="I163" s="26"/>
      <c r="J163" s="24"/>
    </row>
    <row r="164" customFormat="false" ht="18" hidden="false" customHeight="true" outlineLevel="0" collapsed="false">
      <c r="A164" s="28" t="n">
        <v>162</v>
      </c>
      <c r="B164" s="41" t="s">
        <v>18</v>
      </c>
      <c r="C164" s="29" t="s">
        <v>630</v>
      </c>
      <c r="D164" s="30" t="s">
        <v>60</v>
      </c>
      <c r="E164" s="29" t="s">
        <v>631</v>
      </c>
      <c r="F164" s="31" t="s">
        <v>632</v>
      </c>
      <c r="G164" s="31" t="s">
        <v>633</v>
      </c>
      <c r="H164" s="42" t="s">
        <v>11</v>
      </c>
      <c r="I164" s="31"/>
      <c r="J164" s="29"/>
    </row>
    <row r="165" customFormat="false" ht="18" hidden="false" customHeight="true" outlineLevel="0" collapsed="false">
      <c r="A165" s="22" t="n">
        <v>163</v>
      </c>
      <c r="B165" s="41" t="s">
        <v>18</v>
      </c>
      <c r="C165" s="24" t="s">
        <v>634</v>
      </c>
      <c r="D165" s="25" t="s">
        <v>60</v>
      </c>
      <c r="E165" s="24" t="s">
        <v>635</v>
      </c>
      <c r="F165" s="26" t="s">
        <v>636</v>
      </c>
      <c r="G165" s="26" t="s">
        <v>637</v>
      </c>
      <c r="H165" s="42" t="s">
        <v>11</v>
      </c>
      <c r="I165" s="26"/>
      <c r="J165" s="24"/>
    </row>
    <row r="166" customFormat="false" ht="18" hidden="false" customHeight="true" outlineLevel="0" collapsed="false">
      <c r="A166" s="28" t="n">
        <v>164</v>
      </c>
      <c r="B166" s="41" t="s">
        <v>18</v>
      </c>
      <c r="C166" s="29" t="s">
        <v>638</v>
      </c>
      <c r="D166" s="30" t="s">
        <v>60</v>
      </c>
      <c r="E166" s="29" t="s">
        <v>639</v>
      </c>
      <c r="F166" s="31" t="s">
        <v>640</v>
      </c>
      <c r="G166" s="31" t="s">
        <v>637</v>
      </c>
      <c r="H166" s="42" t="s">
        <v>11</v>
      </c>
      <c r="I166" s="31"/>
      <c r="J166" s="29"/>
    </row>
    <row r="167" customFormat="false" ht="18" hidden="false" customHeight="true" outlineLevel="0" collapsed="false">
      <c r="A167" s="22" t="n">
        <v>165</v>
      </c>
      <c r="B167" s="41" t="s">
        <v>18</v>
      </c>
      <c r="C167" s="24" t="s">
        <v>641</v>
      </c>
      <c r="D167" s="25" t="s">
        <v>60</v>
      </c>
      <c r="E167" s="24" t="s">
        <v>642</v>
      </c>
      <c r="F167" s="26" t="s">
        <v>643</v>
      </c>
      <c r="G167" s="26" t="s">
        <v>644</v>
      </c>
      <c r="H167" s="42" t="s">
        <v>11</v>
      </c>
      <c r="I167" s="26"/>
      <c r="J167" s="24"/>
    </row>
    <row r="168" customFormat="false" ht="18" hidden="false" customHeight="true" outlineLevel="0" collapsed="false">
      <c r="A168" s="28" t="n">
        <v>166</v>
      </c>
      <c r="B168" s="41" t="s">
        <v>18</v>
      </c>
      <c r="C168" s="29" t="s">
        <v>645</v>
      </c>
      <c r="D168" s="30" t="s">
        <v>60</v>
      </c>
      <c r="E168" s="29" t="s">
        <v>646</v>
      </c>
      <c r="F168" s="31" t="s">
        <v>647</v>
      </c>
      <c r="G168" s="31" t="s">
        <v>648</v>
      </c>
      <c r="H168" s="42" t="s">
        <v>11</v>
      </c>
      <c r="I168" s="31"/>
      <c r="J168" s="29"/>
    </row>
    <row r="169" customFormat="false" ht="18" hidden="false" customHeight="true" outlineLevel="0" collapsed="false">
      <c r="A169" s="22" t="n">
        <v>167</v>
      </c>
      <c r="B169" s="41" t="s">
        <v>18</v>
      </c>
      <c r="C169" s="24" t="s">
        <v>649</v>
      </c>
      <c r="D169" s="25" t="s">
        <v>60</v>
      </c>
      <c r="E169" s="24" t="s">
        <v>650</v>
      </c>
      <c r="F169" s="26" t="s">
        <v>651</v>
      </c>
      <c r="G169" s="26" t="s">
        <v>652</v>
      </c>
      <c r="H169" s="42" t="s">
        <v>11</v>
      </c>
      <c r="I169" s="26"/>
      <c r="J169" s="24"/>
    </row>
    <row r="170" customFormat="false" ht="18" hidden="false" customHeight="true" outlineLevel="0" collapsed="false">
      <c r="A170" s="28" t="n">
        <v>168</v>
      </c>
      <c r="B170" s="41" t="s">
        <v>18</v>
      </c>
      <c r="C170" s="29" t="s">
        <v>653</v>
      </c>
      <c r="D170" s="30" t="s">
        <v>60</v>
      </c>
      <c r="E170" s="29" t="s">
        <v>650</v>
      </c>
      <c r="F170" s="31" t="s">
        <v>654</v>
      </c>
      <c r="G170" s="31" t="s">
        <v>652</v>
      </c>
      <c r="H170" s="42" t="s">
        <v>11</v>
      </c>
      <c r="I170" s="31"/>
      <c r="J170" s="29"/>
    </row>
    <row r="171" customFormat="false" ht="18" hidden="false" customHeight="true" outlineLevel="0" collapsed="false">
      <c r="A171" s="22" t="n">
        <v>169</v>
      </c>
      <c r="B171" s="41" t="s">
        <v>18</v>
      </c>
      <c r="C171" s="24" t="s">
        <v>655</v>
      </c>
      <c r="D171" s="25" t="s">
        <v>60</v>
      </c>
      <c r="E171" s="24" t="s">
        <v>656</v>
      </c>
      <c r="F171" s="26" t="s">
        <v>657</v>
      </c>
      <c r="G171" s="26" t="s">
        <v>132</v>
      </c>
      <c r="H171" s="42" t="s">
        <v>11</v>
      </c>
      <c r="I171" s="26"/>
      <c r="J171" s="24"/>
    </row>
    <row r="172" customFormat="false" ht="18" hidden="false" customHeight="true" outlineLevel="0" collapsed="false">
      <c r="A172" s="28" t="n">
        <v>170</v>
      </c>
      <c r="B172" s="41" t="s">
        <v>18</v>
      </c>
      <c r="C172" s="29" t="s">
        <v>658</v>
      </c>
      <c r="D172" s="30" t="s">
        <v>60</v>
      </c>
      <c r="E172" s="29" t="s">
        <v>659</v>
      </c>
      <c r="F172" s="31" t="s">
        <v>660</v>
      </c>
      <c r="G172" s="31" t="s">
        <v>132</v>
      </c>
      <c r="H172" s="42" t="s">
        <v>11</v>
      </c>
      <c r="I172" s="31"/>
      <c r="J172" s="29"/>
    </row>
    <row r="173" customFormat="false" ht="18" hidden="false" customHeight="true" outlineLevel="0" collapsed="false">
      <c r="A173" s="22" t="n">
        <v>171</v>
      </c>
      <c r="B173" s="41" t="s">
        <v>18</v>
      </c>
      <c r="C173" s="24" t="s">
        <v>661</v>
      </c>
      <c r="D173" s="25" t="s">
        <v>60</v>
      </c>
      <c r="E173" s="24" t="s">
        <v>662</v>
      </c>
      <c r="F173" s="26" t="s">
        <v>663</v>
      </c>
      <c r="G173" s="26" t="s">
        <v>132</v>
      </c>
      <c r="H173" s="42" t="s">
        <v>11</v>
      </c>
      <c r="I173" s="26"/>
      <c r="J173" s="24"/>
    </row>
    <row r="174" customFormat="false" ht="18" hidden="false" customHeight="true" outlineLevel="0" collapsed="false">
      <c r="A174" s="28" t="n">
        <v>172</v>
      </c>
      <c r="B174" s="41" t="s">
        <v>18</v>
      </c>
      <c r="C174" s="29" t="s">
        <v>664</v>
      </c>
      <c r="D174" s="30" t="s">
        <v>60</v>
      </c>
      <c r="E174" s="29" t="s">
        <v>665</v>
      </c>
      <c r="F174" s="31" t="s">
        <v>666</v>
      </c>
      <c r="G174" s="31" t="s">
        <v>132</v>
      </c>
      <c r="H174" s="42" t="s">
        <v>11</v>
      </c>
      <c r="I174" s="31"/>
      <c r="J174" s="29"/>
    </row>
    <row r="175" customFormat="false" ht="18" hidden="false" customHeight="true" outlineLevel="0" collapsed="false">
      <c r="A175" s="22" t="n">
        <v>173</v>
      </c>
      <c r="B175" s="41" t="s">
        <v>18</v>
      </c>
      <c r="C175" s="24" t="s">
        <v>604</v>
      </c>
      <c r="D175" s="25" t="s">
        <v>60</v>
      </c>
      <c r="E175" s="24" t="s">
        <v>605</v>
      </c>
      <c r="F175" s="26" t="s">
        <v>667</v>
      </c>
      <c r="G175" s="26" t="s">
        <v>132</v>
      </c>
      <c r="H175" s="42" t="s">
        <v>11</v>
      </c>
      <c r="I175" s="26"/>
      <c r="J175" s="24"/>
    </row>
    <row r="176" customFormat="false" ht="18" hidden="false" customHeight="true" outlineLevel="0" collapsed="false">
      <c r="A176" s="28" t="n">
        <v>174</v>
      </c>
      <c r="B176" s="41" t="s">
        <v>18</v>
      </c>
      <c r="C176" s="29" t="s">
        <v>668</v>
      </c>
      <c r="D176" s="30" t="s">
        <v>60</v>
      </c>
      <c r="E176" s="29" t="s">
        <v>669</v>
      </c>
      <c r="F176" s="31" t="s">
        <v>670</v>
      </c>
      <c r="G176" s="31" t="s">
        <v>671</v>
      </c>
      <c r="H176" s="42" t="s">
        <v>11</v>
      </c>
      <c r="I176" s="31"/>
      <c r="J176" s="29"/>
    </row>
    <row r="177" customFormat="false" ht="18" hidden="false" customHeight="true" outlineLevel="0" collapsed="false">
      <c r="A177" s="22" t="n">
        <v>175</v>
      </c>
      <c r="B177" s="41" t="s">
        <v>18</v>
      </c>
      <c r="C177" s="24" t="s">
        <v>672</v>
      </c>
      <c r="D177" s="25" t="s">
        <v>60</v>
      </c>
      <c r="E177" s="24" t="s">
        <v>673</v>
      </c>
      <c r="F177" s="26" t="s">
        <v>674</v>
      </c>
      <c r="G177" s="26" t="s">
        <v>671</v>
      </c>
      <c r="H177" s="42" t="s">
        <v>11</v>
      </c>
      <c r="I177" s="26"/>
      <c r="J177" s="24"/>
    </row>
    <row r="178" customFormat="false" ht="18" hidden="false" customHeight="true" outlineLevel="0" collapsed="false">
      <c r="A178" s="28" t="n">
        <v>176</v>
      </c>
      <c r="B178" s="41" t="s">
        <v>18</v>
      </c>
      <c r="C178" s="29" t="s">
        <v>675</v>
      </c>
      <c r="D178" s="30" t="s">
        <v>60</v>
      </c>
      <c r="E178" s="29" t="s">
        <v>673</v>
      </c>
      <c r="F178" s="31" t="s">
        <v>676</v>
      </c>
      <c r="G178" s="31" t="s">
        <v>671</v>
      </c>
      <c r="H178" s="42" t="s">
        <v>11</v>
      </c>
      <c r="I178" s="31"/>
      <c r="J178" s="29"/>
    </row>
    <row r="179" customFormat="false" ht="18" hidden="false" customHeight="true" outlineLevel="0" collapsed="false">
      <c r="A179" s="22" t="n">
        <v>177</v>
      </c>
      <c r="B179" s="41" t="s">
        <v>18</v>
      </c>
      <c r="C179" s="24" t="s">
        <v>677</v>
      </c>
      <c r="D179" s="25" t="s">
        <v>60</v>
      </c>
      <c r="E179" s="24" t="s">
        <v>673</v>
      </c>
      <c r="F179" s="26" t="s">
        <v>678</v>
      </c>
      <c r="G179" s="26" t="s">
        <v>671</v>
      </c>
      <c r="H179" s="42" t="s">
        <v>11</v>
      </c>
      <c r="I179" s="26"/>
      <c r="J179" s="24"/>
    </row>
    <row r="180" customFormat="false" ht="18" hidden="false" customHeight="true" outlineLevel="0" collapsed="false">
      <c r="A180" s="28" t="n">
        <v>178</v>
      </c>
      <c r="B180" s="41" t="s">
        <v>18</v>
      </c>
      <c r="C180" s="29" t="s">
        <v>679</v>
      </c>
      <c r="D180" s="30" t="s">
        <v>60</v>
      </c>
      <c r="E180" s="29" t="s">
        <v>673</v>
      </c>
      <c r="F180" s="31" t="s">
        <v>680</v>
      </c>
      <c r="G180" s="31" t="s">
        <v>681</v>
      </c>
      <c r="H180" s="42" t="s">
        <v>11</v>
      </c>
      <c r="I180" s="31"/>
      <c r="J180" s="29"/>
    </row>
    <row r="181" customFormat="false" ht="18" hidden="false" customHeight="true" outlineLevel="0" collapsed="false">
      <c r="A181" s="22" t="n">
        <v>179</v>
      </c>
      <c r="B181" s="41" t="s">
        <v>18</v>
      </c>
      <c r="C181" s="24" t="s">
        <v>682</v>
      </c>
      <c r="D181" s="25" t="s">
        <v>60</v>
      </c>
      <c r="E181" s="24" t="s">
        <v>683</v>
      </c>
      <c r="F181" s="26" t="s">
        <v>684</v>
      </c>
      <c r="G181" s="26" t="s">
        <v>685</v>
      </c>
      <c r="H181" s="42" t="s">
        <v>11</v>
      </c>
      <c r="I181" s="26"/>
      <c r="J181" s="24"/>
    </row>
    <row r="182" customFormat="false" ht="18" hidden="false" customHeight="true" outlineLevel="0" collapsed="false">
      <c r="A182" s="28" t="n">
        <v>180</v>
      </c>
      <c r="B182" s="41" t="s">
        <v>18</v>
      </c>
      <c r="C182" s="29" t="s">
        <v>686</v>
      </c>
      <c r="D182" s="30" t="s">
        <v>60</v>
      </c>
      <c r="E182" s="29" t="s">
        <v>687</v>
      </c>
      <c r="F182" s="31" t="s">
        <v>688</v>
      </c>
      <c r="G182" s="31" t="s">
        <v>689</v>
      </c>
      <c r="H182" s="32" t="s">
        <v>31</v>
      </c>
      <c r="I182" s="31"/>
      <c r="J182" s="29"/>
    </row>
    <row r="183" customFormat="false" ht="18" hidden="false" customHeight="true" outlineLevel="0" collapsed="false">
      <c r="A183" s="22" t="n">
        <v>181</v>
      </c>
      <c r="B183" s="41" t="s">
        <v>18</v>
      </c>
      <c r="C183" s="24" t="s">
        <v>690</v>
      </c>
      <c r="D183" s="25" t="s">
        <v>60</v>
      </c>
      <c r="E183" s="24" t="s">
        <v>471</v>
      </c>
      <c r="F183" s="26" t="s">
        <v>691</v>
      </c>
      <c r="G183" s="26" t="s">
        <v>692</v>
      </c>
      <c r="H183" s="42" t="s">
        <v>11</v>
      </c>
      <c r="I183" s="26"/>
      <c r="J183" s="24"/>
    </row>
    <row r="184" customFormat="false" ht="18" hidden="false" customHeight="true" outlineLevel="0" collapsed="false">
      <c r="A184" s="28" t="n">
        <v>182</v>
      </c>
      <c r="B184" s="41" t="s">
        <v>18</v>
      </c>
      <c r="C184" s="29" t="s">
        <v>693</v>
      </c>
      <c r="D184" s="30" t="s">
        <v>60</v>
      </c>
      <c r="E184" s="29" t="s">
        <v>694</v>
      </c>
      <c r="F184" s="31" t="s">
        <v>695</v>
      </c>
      <c r="G184" s="31" t="s">
        <v>692</v>
      </c>
      <c r="H184" s="42" t="s">
        <v>11</v>
      </c>
      <c r="I184" s="31"/>
      <c r="J184" s="29"/>
    </row>
    <row r="185" customFormat="false" ht="18" hidden="false" customHeight="true" outlineLevel="0" collapsed="false">
      <c r="A185" s="22" t="n">
        <v>183</v>
      </c>
      <c r="B185" s="41" t="s">
        <v>18</v>
      </c>
      <c r="C185" s="24" t="s">
        <v>696</v>
      </c>
      <c r="D185" s="25" t="s">
        <v>60</v>
      </c>
      <c r="E185" s="24" t="s">
        <v>697</v>
      </c>
      <c r="F185" s="26" t="s">
        <v>698</v>
      </c>
      <c r="G185" s="26" t="s">
        <v>692</v>
      </c>
      <c r="H185" s="42" t="s">
        <v>11</v>
      </c>
      <c r="I185" s="26"/>
      <c r="J185" s="24"/>
    </row>
    <row r="186" customFormat="false" ht="18" hidden="false" customHeight="true" outlineLevel="0" collapsed="false">
      <c r="A186" s="28" t="n">
        <v>184</v>
      </c>
      <c r="B186" s="41" t="s">
        <v>18</v>
      </c>
      <c r="C186" s="29" t="s">
        <v>699</v>
      </c>
      <c r="D186" s="30" t="s">
        <v>60</v>
      </c>
      <c r="E186" s="29" t="s">
        <v>700</v>
      </c>
      <c r="F186" s="31" t="s">
        <v>701</v>
      </c>
      <c r="G186" s="31" t="s">
        <v>702</v>
      </c>
      <c r="H186" s="42" t="s">
        <v>11</v>
      </c>
      <c r="I186" s="31"/>
      <c r="J186" s="29"/>
    </row>
    <row r="187" customFormat="false" ht="18" hidden="false" customHeight="true" outlineLevel="0" collapsed="false">
      <c r="A187" s="22" t="n">
        <v>185</v>
      </c>
      <c r="B187" s="41" t="s">
        <v>18</v>
      </c>
      <c r="C187" s="24" t="s">
        <v>703</v>
      </c>
      <c r="D187" s="25" t="s">
        <v>704</v>
      </c>
      <c r="E187" s="24" t="s">
        <v>705</v>
      </c>
      <c r="F187" s="26" t="s">
        <v>706</v>
      </c>
      <c r="G187" s="26" t="s">
        <v>707</v>
      </c>
      <c r="H187" s="42" t="s">
        <v>11</v>
      </c>
      <c r="I187" s="26"/>
      <c r="J187" s="24"/>
    </row>
    <row r="188" customFormat="false" ht="18" hidden="false" customHeight="true" outlineLevel="0" collapsed="false">
      <c r="A188" s="28" t="n">
        <v>186</v>
      </c>
      <c r="B188" s="41" t="s">
        <v>18</v>
      </c>
      <c r="C188" s="29" t="s">
        <v>708</v>
      </c>
      <c r="D188" s="30" t="s">
        <v>21</v>
      </c>
      <c r="E188" s="29" t="s">
        <v>709</v>
      </c>
      <c r="F188" s="31" t="s">
        <v>710</v>
      </c>
      <c r="G188" s="31" t="s">
        <v>447</v>
      </c>
      <c r="H188" s="42" t="s">
        <v>11</v>
      </c>
      <c r="I188" s="31"/>
      <c r="J188" s="29"/>
    </row>
    <row r="189" customFormat="false" ht="18" hidden="false" customHeight="true" outlineLevel="0" collapsed="false">
      <c r="A189" s="22" t="n">
        <v>187</v>
      </c>
      <c r="B189" s="41" t="s">
        <v>18</v>
      </c>
      <c r="C189" s="24" t="s">
        <v>711</v>
      </c>
      <c r="D189" s="25" t="s">
        <v>50</v>
      </c>
      <c r="E189" s="24" t="s">
        <v>712</v>
      </c>
      <c r="F189" s="26" t="s">
        <v>713</v>
      </c>
      <c r="G189" s="26" t="s">
        <v>714</v>
      </c>
      <c r="H189" s="42" t="s">
        <v>11</v>
      </c>
      <c r="I189" s="26"/>
      <c r="J189" s="24"/>
    </row>
    <row r="190" customFormat="false" ht="18" hidden="false" customHeight="true" outlineLevel="0" collapsed="false">
      <c r="A190" s="28" t="n">
        <v>188</v>
      </c>
      <c r="B190" s="41" t="s">
        <v>18</v>
      </c>
      <c r="C190" s="29" t="s">
        <v>715</v>
      </c>
      <c r="D190" s="30" t="s">
        <v>36</v>
      </c>
      <c r="E190" s="29" t="s">
        <v>716</v>
      </c>
      <c r="F190" s="31" t="s">
        <v>717</v>
      </c>
      <c r="G190" s="31" t="s">
        <v>718</v>
      </c>
      <c r="H190" s="42" t="s">
        <v>11</v>
      </c>
      <c r="I190" s="31"/>
      <c r="J190" s="29"/>
    </row>
    <row r="191" customFormat="false" ht="18" hidden="false" customHeight="true" outlineLevel="0" collapsed="false">
      <c r="A191" s="22" t="n">
        <v>189</v>
      </c>
      <c r="B191" s="41" t="s">
        <v>18</v>
      </c>
      <c r="C191" s="24" t="s">
        <v>719</v>
      </c>
      <c r="D191" s="25" t="s">
        <v>36</v>
      </c>
      <c r="E191" s="24" t="s">
        <v>669</v>
      </c>
      <c r="F191" s="26" t="s">
        <v>720</v>
      </c>
      <c r="G191" s="26" t="s">
        <v>473</v>
      </c>
      <c r="H191" s="42" t="s">
        <v>11</v>
      </c>
      <c r="I191" s="26"/>
      <c r="J191" s="24"/>
    </row>
    <row r="192" customFormat="false" ht="18" hidden="false" customHeight="true" outlineLevel="0" collapsed="false">
      <c r="A192" s="28" t="n">
        <v>190</v>
      </c>
      <c r="B192" s="41" t="s">
        <v>18</v>
      </c>
      <c r="C192" s="29" t="s">
        <v>721</v>
      </c>
      <c r="D192" s="30" t="s">
        <v>36</v>
      </c>
      <c r="E192" s="29" t="s">
        <v>722</v>
      </c>
      <c r="F192" s="31" t="s">
        <v>723</v>
      </c>
      <c r="G192" s="31" t="s">
        <v>529</v>
      </c>
      <c r="H192" s="42" t="s">
        <v>11</v>
      </c>
      <c r="I192" s="31"/>
      <c r="J192" s="29"/>
    </row>
    <row r="193" customFormat="false" ht="18" hidden="false" customHeight="true" outlineLevel="0" collapsed="false">
      <c r="A193" s="22" t="n">
        <v>191</v>
      </c>
      <c r="B193" s="41" t="s">
        <v>18</v>
      </c>
      <c r="C193" s="24" t="s">
        <v>724</v>
      </c>
      <c r="D193" s="25" t="s">
        <v>36</v>
      </c>
      <c r="E193" s="24" t="s">
        <v>725</v>
      </c>
      <c r="F193" s="26" t="s">
        <v>726</v>
      </c>
      <c r="G193" s="26" t="s">
        <v>727</v>
      </c>
      <c r="H193" s="43" t="s">
        <v>34</v>
      </c>
      <c r="I193" s="26"/>
      <c r="J193" s="24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2026-04-04T14:36:18Z</dcterms:created>
  <dc:creator>openpyxl</dc:creator>
  <dc:description/>
  <dc:language>en-US</dc:language>
  <cp:lastModifiedBy/>
  <dcterms:modified xsi:type="dcterms:W3CDTF">2026-04-04T11:36:39Z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